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on\IdeaProjects\pmon\src\main\web\resources\reports\"/>
    </mc:Choice>
  </mc:AlternateContent>
  <xr:revisionPtr revIDLastSave="0" documentId="13_ncr:1_{0281D9FA-C972-4B1D-9661-EC6EBF73868C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пр-4а" sheetId="1" r:id="rId1"/>
  </sheets>
  <definedNames>
    <definedName name="_xlnm._FilterDatabase" localSheetId="0" hidden="1">'пр-4а'!$D$12:$BB$42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J40" i="1" l="1"/>
  <c r="BJ39" i="1"/>
  <c r="BJ38" i="1"/>
  <c r="BJ37" i="1"/>
  <c r="BJ25" i="1"/>
  <c r="BJ24" i="1"/>
  <c r="BJ23" i="1"/>
  <c r="BJ22" i="1"/>
  <c r="BR40" i="1" l="1"/>
  <c r="BQ40" i="1"/>
  <c r="BH40" i="1"/>
  <c r="BG40" i="1"/>
  <c r="BF40" i="1"/>
  <c r="BE40" i="1"/>
  <c r="BD40" i="1"/>
  <c r="BC40" i="1"/>
  <c r="BR39" i="1"/>
  <c r="BQ39" i="1"/>
  <c r="BH39" i="1"/>
  <c r="BG39" i="1"/>
  <c r="BF39" i="1"/>
  <c r="BE39" i="1"/>
  <c r="BD39" i="1"/>
  <c r="BC39" i="1"/>
  <c r="BR38" i="1"/>
  <c r="BQ38" i="1"/>
  <c r="BH38" i="1"/>
  <c r="BG38" i="1"/>
  <c r="BF38" i="1"/>
  <c r="BE38" i="1"/>
  <c r="BD38" i="1"/>
  <c r="BC38" i="1"/>
  <c r="BR37" i="1"/>
  <c r="BQ37" i="1"/>
  <c r="BH37" i="1"/>
  <c r="BG37" i="1"/>
  <c r="BF37" i="1"/>
  <c r="BE37" i="1"/>
  <c r="BD37" i="1"/>
  <c r="BC37" i="1"/>
  <c r="BR27" i="1" l="1"/>
  <c r="BQ27" i="1"/>
  <c r="BH27" i="1"/>
  <c r="BG27" i="1"/>
  <c r="BF27" i="1"/>
  <c r="BE27" i="1"/>
  <c r="BD27" i="1"/>
  <c r="BC27" i="1"/>
  <c r="BR25" i="1"/>
  <c r="BQ25" i="1"/>
  <c r="BH25" i="1"/>
  <c r="BG25" i="1"/>
  <c r="BF25" i="1"/>
  <c r="BE25" i="1"/>
  <c r="BD25" i="1"/>
  <c r="BC25" i="1"/>
  <c r="BR24" i="1"/>
  <c r="BQ24" i="1"/>
  <c r="BH24" i="1"/>
  <c r="BG24" i="1"/>
  <c r="BF24" i="1"/>
  <c r="BE24" i="1"/>
  <c r="BD24" i="1"/>
  <c r="BC24" i="1"/>
  <c r="BR23" i="1"/>
  <c r="BQ23" i="1"/>
  <c r="BH23" i="1"/>
  <c r="BG23" i="1"/>
  <c r="BF23" i="1"/>
  <c r="BE23" i="1"/>
  <c r="BD23" i="1"/>
  <c r="BC23" i="1"/>
  <c r="BR22" i="1"/>
  <c r="BQ22" i="1"/>
  <c r="BH22" i="1"/>
  <c r="BG22" i="1"/>
  <c r="BF22" i="1"/>
  <c r="BE22" i="1"/>
  <c r="BD22" i="1"/>
  <c r="BC22" i="1"/>
  <c r="BR21" i="1"/>
  <c r="BQ21" i="1"/>
  <c r="BH21" i="1"/>
  <c r="BG21" i="1"/>
  <c r="BF21" i="1"/>
  <c r="BE21" i="1"/>
  <c r="BD21" i="1"/>
  <c r="BC21" i="1"/>
  <c r="BT20" i="1"/>
  <c r="BS20" i="1"/>
  <c r="BR20" i="1"/>
  <c r="BQ20" i="1"/>
  <c r="BP20" i="1"/>
  <c r="BO20" i="1"/>
  <c r="BN20" i="1"/>
  <c r="BM20" i="1"/>
  <c r="BL20" i="1"/>
  <c r="BK20" i="1"/>
  <c r="BH20" i="1"/>
  <c r="BG20" i="1"/>
  <c r="BF20" i="1"/>
  <c r="BE20" i="1"/>
  <c r="BD20" i="1"/>
  <c r="BC20" i="1"/>
  <c r="BT18" i="1"/>
  <c r="BS18" i="1"/>
  <c r="BR18" i="1"/>
  <c r="BQ18" i="1"/>
  <c r="BP18" i="1"/>
  <c r="BO18" i="1"/>
  <c r="BN18" i="1"/>
  <c r="BM18" i="1"/>
  <c r="BL18" i="1"/>
  <c r="BK18" i="1"/>
  <c r="BH18" i="1"/>
  <c r="BG18" i="1"/>
  <c r="BF18" i="1"/>
  <c r="BE18" i="1"/>
  <c r="BD18" i="1"/>
  <c r="BC18" i="1"/>
  <c r="BT17" i="1"/>
  <c r="BS17" i="1"/>
  <c r="BR17" i="1"/>
  <c r="BQ17" i="1"/>
  <c r="BP17" i="1"/>
  <c r="BO17" i="1"/>
  <c r="BN17" i="1"/>
  <c r="BM17" i="1"/>
  <c r="BL17" i="1"/>
  <c r="BK17" i="1"/>
  <c r="BH17" i="1"/>
  <c r="BG17" i="1"/>
  <c r="BF17" i="1"/>
  <c r="BE17" i="1"/>
  <c r="BD17" i="1"/>
  <c r="BC17" i="1"/>
  <c r="BT16" i="1"/>
  <c r="BS16" i="1"/>
  <c r="BR16" i="1"/>
  <c r="BQ16" i="1"/>
  <c r="BP16" i="1"/>
  <c r="BO16" i="1"/>
  <c r="BN16" i="1"/>
  <c r="BM16" i="1"/>
  <c r="BL16" i="1"/>
  <c r="BK16" i="1"/>
  <c r="BH16" i="1"/>
  <c r="BG16" i="1"/>
  <c r="BF16" i="1"/>
  <c r="BE16" i="1"/>
  <c r="BD16" i="1"/>
  <c r="BC16" i="1"/>
  <c r="BT15" i="1"/>
  <c r="BS15" i="1"/>
  <c r="BR15" i="1"/>
  <c r="BQ15" i="1"/>
  <c r="BP15" i="1"/>
  <c r="BO15" i="1"/>
  <c r="BN15" i="1"/>
  <c r="BM15" i="1"/>
  <c r="BL15" i="1"/>
  <c r="BK15" i="1"/>
  <c r="BH15" i="1"/>
  <c r="BG15" i="1"/>
  <c r="BF15" i="1"/>
  <c r="BE15" i="1"/>
  <c r="BD15" i="1"/>
  <c r="BC15" i="1"/>
  <c r="BT14" i="1"/>
  <c r="BS14" i="1"/>
  <c r="BR14" i="1"/>
  <c r="BQ14" i="1"/>
  <c r="BP14" i="1"/>
  <c r="BO14" i="1"/>
  <c r="BN14" i="1"/>
  <c r="BM14" i="1"/>
  <c r="BL14" i="1"/>
  <c r="BK14" i="1"/>
  <c r="BH14" i="1"/>
  <c r="BG14" i="1"/>
  <c r="BF14" i="1"/>
  <c r="BE14" i="1"/>
  <c r="BD14" i="1"/>
  <c r="BC14" i="1"/>
  <c r="K19" i="1" l="1"/>
  <c r="AY41" i="1" l="1"/>
  <c r="AU41" i="1"/>
  <c r="AQ41" i="1"/>
  <c r="AM41" i="1"/>
  <c r="AI41" i="1"/>
  <c r="AE41" i="1"/>
  <c r="AA41" i="1"/>
  <c r="W41" i="1"/>
  <c r="S41" i="1"/>
  <c r="O41" i="1"/>
  <c r="K41" i="1"/>
  <c r="AY26" i="1"/>
  <c r="AU26" i="1"/>
  <c r="AQ26" i="1"/>
  <c r="AM26" i="1"/>
  <c r="AI26" i="1"/>
  <c r="AE26" i="1"/>
  <c r="AA26" i="1"/>
  <c r="W26" i="1"/>
  <c r="S26" i="1"/>
  <c r="O26" i="1"/>
  <c r="K26" i="1"/>
  <c r="AY19" i="1"/>
  <c r="AU19" i="1"/>
  <c r="AQ19" i="1"/>
  <c r="AM19" i="1"/>
  <c r="AI19" i="1"/>
  <c r="AE19" i="1"/>
  <c r="AA19" i="1"/>
  <c r="W19" i="1"/>
  <c r="S19" i="1"/>
  <c r="O19" i="1"/>
  <c r="BC42" i="1" l="1"/>
  <c r="BB41" i="1"/>
  <c r="BA41" i="1"/>
  <c r="AZ41" i="1"/>
  <c r="AW41" i="1"/>
  <c r="AV41" i="1"/>
  <c r="AS41" i="1"/>
  <c r="AR41" i="1"/>
  <c r="AO41" i="1"/>
  <c r="AN41" i="1"/>
  <c r="AK41" i="1"/>
  <c r="AJ41" i="1"/>
  <c r="AG41" i="1"/>
  <c r="AF41" i="1"/>
  <c r="AC41" i="1"/>
  <c r="AB41" i="1"/>
  <c r="Y41" i="1"/>
  <c r="X41" i="1"/>
  <c r="U41" i="1"/>
  <c r="T41" i="1"/>
  <c r="Q41" i="1"/>
  <c r="P41" i="1"/>
  <c r="M41" i="1"/>
  <c r="L41" i="1"/>
  <c r="I41" i="1"/>
  <c r="H41" i="1"/>
  <c r="G41" i="1"/>
  <c r="BB26" i="1"/>
  <c r="BA26" i="1"/>
  <c r="AZ26" i="1"/>
  <c r="AW26" i="1"/>
  <c r="AV26" i="1"/>
  <c r="AS26" i="1"/>
  <c r="AR26" i="1"/>
  <c r="AO26" i="1"/>
  <c r="AN26" i="1"/>
  <c r="AK26" i="1"/>
  <c r="AJ26" i="1"/>
  <c r="AG26" i="1"/>
  <c r="AF26" i="1"/>
  <c r="AC26" i="1"/>
  <c r="AB26" i="1"/>
  <c r="Y26" i="1"/>
  <c r="X26" i="1"/>
  <c r="U26" i="1"/>
  <c r="T26" i="1"/>
  <c r="Q26" i="1"/>
  <c r="P26" i="1"/>
  <c r="M26" i="1"/>
  <c r="L26" i="1"/>
  <c r="I26" i="1"/>
  <c r="H26" i="1"/>
  <c r="AT26" i="1" s="1"/>
  <c r="G26" i="1"/>
  <c r="BB19" i="1"/>
  <c r="BA19" i="1"/>
  <c r="AZ19" i="1"/>
  <c r="AW19" i="1"/>
  <c r="AV19" i="1"/>
  <c r="AS19" i="1"/>
  <c r="AR19" i="1"/>
  <c r="AO19" i="1"/>
  <c r="AN19" i="1"/>
  <c r="AK19" i="1"/>
  <c r="AJ19" i="1"/>
  <c r="AG19" i="1"/>
  <c r="AF19" i="1"/>
  <c r="AC19" i="1"/>
  <c r="AB19" i="1"/>
  <c r="Y19" i="1"/>
  <c r="X19" i="1"/>
  <c r="U19" i="1"/>
  <c r="T19" i="1"/>
  <c r="Q19" i="1"/>
  <c r="P19" i="1"/>
  <c r="M19" i="1"/>
  <c r="L19" i="1"/>
  <c r="I19" i="1"/>
  <c r="H19" i="1"/>
  <c r="G19" i="1"/>
  <c r="BH41" i="1" l="1"/>
  <c r="AD26" i="1"/>
  <c r="V19" i="1"/>
  <c r="BF19" i="1"/>
  <c r="AX26" i="1"/>
  <c r="BF26" i="1"/>
  <c r="BC19" i="1"/>
  <c r="BH19" i="1"/>
  <c r="BT19" i="1"/>
  <c r="BS19" i="1"/>
  <c r="BE19" i="1"/>
  <c r="BR19" i="1"/>
  <c r="BQ19" i="1"/>
  <c r="BP19" i="1"/>
  <c r="BO19" i="1"/>
  <c r="BN19" i="1"/>
  <c r="BM19" i="1"/>
  <c r="BL19" i="1"/>
  <c r="BK19" i="1"/>
  <c r="BC26" i="1"/>
  <c r="BE26" i="1"/>
  <c r="BR26" i="1"/>
  <c r="BQ26" i="1"/>
  <c r="BC41" i="1"/>
  <c r="AP41" i="1"/>
  <c r="BF41" i="1"/>
  <c r="BR41" i="1"/>
  <c r="BQ41" i="1"/>
  <c r="BE41" i="1"/>
  <c r="BH26" i="1"/>
  <c r="Z26" i="1"/>
  <c r="N26" i="1"/>
  <c r="J41" i="1"/>
  <c r="V41" i="1"/>
  <c r="N41" i="1"/>
  <c r="Z41" i="1"/>
  <c r="AT41" i="1"/>
  <c r="R19" i="1"/>
  <c r="AX19" i="1"/>
  <c r="J26" i="1"/>
  <c r="AP26" i="1"/>
  <c r="AL41" i="1"/>
  <c r="Z19" i="1"/>
  <c r="V26" i="1"/>
  <c r="R41" i="1"/>
  <c r="AX41" i="1"/>
  <c r="AH19" i="1"/>
  <c r="N19" i="1"/>
  <c r="AT19" i="1"/>
  <c r="AL19" i="1"/>
  <c r="AH26" i="1"/>
  <c r="AD41" i="1"/>
  <c r="J19" i="1"/>
  <c r="AP19" i="1"/>
  <c r="AL26" i="1"/>
  <c r="AH41" i="1"/>
  <c r="AD19" i="1"/>
  <c r="R26" i="1"/>
  <c r="BG41" i="1" l="1"/>
  <c r="BD41" i="1"/>
  <c r="BD19" i="1"/>
  <c r="BG19" i="1"/>
  <c r="BD26" i="1"/>
  <c r="BG26" i="1"/>
</calcChain>
</file>

<file path=xl/sharedStrings.xml><?xml version="1.0" encoding="utf-8"?>
<sst xmlns="http://schemas.openxmlformats.org/spreadsheetml/2006/main" count="944" uniqueCount="145">
  <si>
    <t>Приложение № 4а (1 июля)</t>
  </si>
  <si>
    <t>РЕЗУЛЬТАТЫ</t>
  </si>
  <si>
    <t>Субъект РФ  ________________________________________________</t>
  </si>
  <si>
    <t>№</t>
  </si>
  <si>
    <t>Культура</t>
  </si>
  <si>
    <t>Засыпано на хранение, тыс.т.</t>
  </si>
  <si>
    <t>Проанализировано, тыс.т</t>
  </si>
  <si>
    <t>Общий % заражения болезнями</t>
  </si>
  <si>
    <t>в т.ч. заражения по видам болезней</t>
  </si>
  <si>
    <t>твердая головня</t>
  </si>
  <si>
    <t>спорынья</t>
  </si>
  <si>
    <t>Проверка</t>
  </si>
  <si>
    <t>фузариоз</t>
  </si>
  <si>
    <t>гельминтоспориоз</t>
  </si>
  <si>
    <t>септориоз</t>
  </si>
  <si>
    <t>бактериоз</t>
  </si>
  <si>
    <t>альтернариоз</t>
  </si>
  <si>
    <t>плесени</t>
  </si>
  <si>
    <t>полосатая пятнистость</t>
  </si>
  <si>
    <t>сетчатая пятнистость</t>
  </si>
  <si>
    <t>красно-бурая пятнистость</t>
  </si>
  <si>
    <t>другие</t>
  </si>
  <si>
    <t>средневзвешенный, %</t>
  </si>
  <si>
    <t>максимальный, %</t>
  </si>
  <si>
    <t>заражено*, тыс. т</t>
  </si>
  <si>
    <t>%</t>
  </si>
  <si>
    <t>заражено**, тыс. т</t>
  </si>
  <si>
    <t>заражено, тыс. т</t>
  </si>
  <si>
    <t>a15god1</t>
  </si>
  <si>
    <t>b15god1</t>
  </si>
  <si>
    <t>c15god1</t>
  </si>
  <si>
    <t>d15god1</t>
  </si>
  <si>
    <t>e15god1</t>
  </si>
  <si>
    <t>f15god1</t>
  </si>
  <si>
    <t>g15god1</t>
  </si>
  <si>
    <t>h15god1</t>
  </si>
  <si>
    <t>i15god1</t>
  </si>
  <si>
    <t>j15god1</t>
  </si>
  <si>
    <t>k15god1</t>
  </si>
  <si>
    <t>l15god1</t>
  </si>
  <si>
    <t>m15god1</t>
  </si>
  <si>
    <t>n15god1</t>
  </si>
  <si>
    <t>o15god1</t>
  </si>
  <si>
    <t>p15god1</t>
  </si>
  <si>
    <t>q15god1</t>
  </si>
  <si>
    <t>r15god1</t>
  </si>
  <si>
    <t>s15god1</t>
  </si>
  <si>
    <t>t15god1</t>
  </si>
  <si>
    <t>u15god</t>
  </si>
  <si>
    <t>v15god1</t>
  </si>
  <si>
    <t>w15god1</t>
  </si>
  <si>
    <t>x15god1</t>
  </si>
  <si>
    <t>y15god1</t>
  </si>
  <si>
    <t>z15god1</t>
  </si>
  <si>
    <t>aa15god1</t>
  </si>
  <si>
    <t>ab15god1</t>
  </si>
  <si>
    <t>ac15god1</t>
  </si>
  <si>
    <t>ad15god1</t>
  </si>
  <si>
    <t>ae15god1</t>
  </si>
  <si>
    <t>af15god1</t>
  </si>
  <si>
    <t>ag15god1</t>
  </si>
  <si>
    <t>ah15god1</t>
  </si>
  <si>
    <t>ai15god1</t>
  </si>
  <si>
    <t>aj15god1</t>
  </si>
  <si>
    <t>ak15god1</t>
  </si>
  <si>
    <t>под яровой сев</t>
  </si>
  <si>
    <t>Яровая пшеница</t>
  </si>
  <si>
    <t>Яровой ячмень</t>
  </si>
  <si>
    <t>Овес</t>
  </si>
  <si>
    <t>Яровая рожь</t>
  </si>
  <si>
    <t>Яровая тритикале</t>
  </si>
  <si>
    <t>Итого:</t>
  </si>
  <si>
    <t>Предыдущий год (итоговая)</t>
  </si>
  <si>
    <t>под озимый сев</t>
  </si>
  <si>
    <t>Озимая пшеница</t>
  </si>
  <si>
    <t>Озимый ячмень</t>
  </si>
  <si>
    <t>Озимая рожь</t>
  </si>
  <si>
    <t>Озимая тритикале</t>
  </si>
  <si>
    <t>a15god2</t>
  </si>
  <si>
    <t>b15god2</t>
  </si>
  <si>
    <t>c15god2</t>
  </si>
  <si>
    <t>d15god2</t>
  </si>
  <si>
    <t>e15god2</t>
  </si>
  <si>
    <t>f15god2</t>
  </si>
  <si>
    <t>g15god2</t>
  </si>
  <si>
    <t>h15god2</t>
  </si>
  <si>
    <t>i15god2</t>
  </si>
  <si>
    <t>j15god2</t>
  </si>
  <si>
    <t>k15god2</t>
  </si>
  <si>
    <t>l15god2</t>
  </si>
  <si>
    <t>m15god2</t>
  </si>
  <si>
    <t>n15god2</t>
  </si>
  <si>
    <t>o15god2</t>
  </si>
  <si>
    <t>p15god2</t>
  </si>
  <si>
    <t>q15god2</t>
  </si>
  <si>
    <t>r15god2</t>
  </si>
  <si>
    <t>s15god2</t>
  </si>
  <si>
    <t>t15god2</t>
  </si>
  <si>
    <t>u15god2</t>
  </si>
  <si>
    <t>v15god2</t>
  </si>
  <si>
    <t>w15god2</t>
  </si>
  <si>
    <t>x15god2</t>
  </si>
  <si>
    <t>y15god2</t>
  </si>
  <si>
    <t>z15god2</t>
  </si>
  <si>
    <t>aa15god2</t>
  </si>
  <si>
    <t>ab15god2</t>
  </si>
  <si>
    <t>ac15god2</t>
  </si>
  <si>
    <t>ad15god2</t>
  </si>
  <si>
    <t>ae15god2</t>
  </si>
  <si>
    <t>af15god2</t>
  </si>
  <si>
    <t>ag15god2</t>
  </si>
  <si>
    <t>ah15god2</t>
  </si>
  <si>
    <t>ai15god2</t>
  </si>
  <si>
    <t>aj15god2</t>
  </si>
  <si>
    <t>ak15god2</t>
  </si>
  <si>
    <t xml:space="preserve">Примечание. В ячейках где стоят "0", "#ДЕЛ/0!", "###" проставлены формулы. После заполнения </t>
  </si>
  <si>
    <t xml:space="preserve">пустых строк на месте "0", "#ДЕЛ/0!" должны появиться значения. </t>
  </si>
  <si>
    <t>Принятую нумерацию строк  (1, 2, 3…) и столбцов (a4a, b4a, c4a…) менять не следует.</t>
  </si>
  <si>
    <t>Заражено*, тыс. т - заражено (масса зараженных партий), тыс.т</t>
  </si>
  <si>
    <t>Заражено**, тыс. т - масса партии с максимальным  % заражения, тыс.т</t>
  </si>
  <si>
    <t>Исполнитель:  ____________________________________________</t>
  </si>
  <si>
    <t>тел. (код)________________________</t>
  </si>
  <si>
    <t>true</t>
  </si>
  <si>
    <t>TOTAL</t>
  </si>
  <si>
    <t>Регион</t>
  </si>
  <si>
    <t>фитоэкспертизы семян зерновых культур на #{dialogReportBean.phExpBean.date} г</t>
  </si>
  <si>
    <t>Субъект РФ  #{dialogReportBean.phExpBean.region.name}</t>
  </si>
  <si>
    <t>#{dialogReportBean.phExpBean.backFill}</t>
  </si>
  <si>
    <t>#{dialogReportBean.phExpBean.analyze}</t>
  </si>
  <si>
    <t>#{dialogReportBean.phExpBean.avgInfectedAll}</t>
  </si>
  <si>
    <t>#{dialogReportBean.phExpBean.avgPercAll}</t>
  </si>
  <si>
    <t>#{dialogReportBean.phExpBean.maxInfectedAll}</t>
  </si>
  <si>
    <t>#{dialogReportBean.phExpBean.maxPercAll}</t>
  </si>
  <si>
    <t>#{dialogReportBean.phExpBean.avgInfected}</t>
  </si>
  <si>
    <t>#{dialogReportBean.phExpBean.avgPerc}</t>
  </si>
  <si>
    <t>#{dialogReportBean.phExpBean.maxInfected}</t>
  </si>
  <si>
    <t>#{dialogReportBean.phExpBean.maxPerc}</t>
  </si>
  <si>
    <t>#{dialogReportBean.phExpBean.avgInfectedOth}</t>
  </si>
  <si>
    <t>#{dialogReportBean.phExpBean.avgPercOth}</t>
  </si>
  <si>
    <t>#{dialogReportBean.phExpBean.maxInfectedOth}</t>
  </si>
  <si>
    <t>#{dialogReportBean.phExpBean.maxPercOth}</t>
  </si>
  <si>
    <t>#{dialogReportBean.phExpBean.infected}</t>
  </si>
  <si>
    <t>фитоэкспертизы семян зерновых культур в переходящих фондах на #{dialogReportBean.phExpBean.date} г</t>
  </si>
  <si>
    <t>314,318,320,321</t>
  </si>
  <si>
    <t>315,319,598,625,626,316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</si>
</sst>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_ ;[Red]\-0.00\ 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2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sz val="8"/>
      <color indexed="8"/>
      <name val="Calibri"/>
      <family val="2"/>
      <charset val="204"/>
    </font>
    <font>
      <sz val="14"/>
      <color indexed="8"/>
      <name val="Times New Roman"/>
      <family val="1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Arial Cyr"/>
      <charset val="204"/>
    </font>
    <font>
      <b/>
      <sz val="12"/>
      <color indexed="8"/>
      <name val="Times New Roman"/>
      <family val="1"/>
      <charset val="204"/>
    </font>
    <font>
      <sz val="12"/>
      <name val="Arial Cyr"/>
      <charset val="204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8" fillId="0" borderId="0"/>
    <xf numFmtId="0" fontId="1" fillId="0" borderId="0"/>
    <xf numFmtId="0" fontId="15" fillId="0" borderId="0" applyNumberFormat="0" applyFill="0" applyBorder="0" applyAlignment="0" applyProtection="0"/>
  </cellStyleXfs>
  <cellXfs count="122">
    <xf numFmtId="0" fontId="0" fillId="0" borderId="0" xfId="0"/>
    <xf numFmtId="164" fontId="3" fillId="0" borderId="0" xfId="1" applyNumberFormat="1" applyFont="1" applyAlignment="1" applyProtection="1">
      <alignment vertical="center"/>
      <protection locked="0"/>
    </xf>
    <xf numFmtId="164" fontId="3" fillId="0" borderId="14" xfId="2" applyNumberFormat="1" applyFont="1" applyBorder="1" applyAlignment="1" applyProtection="1">
      <alignment horizontal="center" vertical="center" textRotation="90" wrapText="1"/>
      <protection locked="0"/>
    </xf>
    <xf numFmtId="164" fontId="3" fillId="0" borderId="2" xfId="2" applyNumberFormat="1" applyFont="1" applyBorder="1" applyAlignment="1" applyProtection="1">
      <alignment horizontal="center" vertical="center" textRotation="90" wrapText="1"/>
      <protection locked="0"/>
    </xf>
    <xf numFmtId="164" fontId="3" fillId="0" borderId="13" xfId="2" applyNumberFormat="1" applyFont="1" applyBorder="1" applyAlignment="1" applyProtection="1">
      <alignment horizontal="right" vertical="center"/>
      <protection locked="0"/>
    </xf>
    <xf numFmtId="164" fontId="12" fillId="0" borderId="14" xfId="2" applyNumberFormat="1" applyFont="1" applyBorder="1" applyAlignment="1" applyProtection="1">
      <alignment horizontal="right" vertical="center" wrapText="1"/>
      <protection locked="0"/>
    </xf>
    <xf numFmtId="164" fontId="3" fillId="0" borderId="2" xfId="2" applyNumberFormat="1" applyFont="1" applyBorder="1" applyAlignment="1" applyProtection="1">
      <alignment horizontal="right" vertical="center" wrapText="1"/>
      <protection locked="0"/>
    </xf>
    <xf numFmtId="164" fontId="3" fillId="0" borderId="14" xfId="2" applyNumberFormat="1" applyFont="1" applyBorder="1" applyAlignment="1" applyProtection="1">
      <alignment horizontal="right" vertical="center" wrapText="1"/>
      <protection locked="0"/>
    </xf>
    <xf numFmtId="164" fontId="3" fillId="0" borderId="0" xfId="2" applyNumberFormat="1" applyFont="1" applyAlignment="1" applyProtection="1">
      <alignment horizontal="center" vertical="center" wrapText="1"/>
      <protection locked="0"/>
    </xf>
    <xf numFmtId="164" fontId="13" fillId="0" borderId="0" xfId="2" applyNumberFormat="1" applyFont="1" applyAlignment="1" applyProtection="1">
      <alignment vertical="center"/>
      <protection locked="0"/>
    </xf>
    <xf numFmtId="164" fontId="13" fillId="0" borderId="0" xfId="2" applyNumberFormat="1" applyFont="1" applyProtection="1">
      <protection locked="0"/>
    </xf>
    <xf numFmtId="164" fontId="6" fillId="0" borderId="0" xfId="1" applyNumberFormat="1" applyFont="1" applyAlignment="1" applyProtection="1">
      <alignment vertical="center"/>
      <protection locked="0"/>
    </xf>
    <xf numFmtId="164" fontId="7" fillId="0" borderId="0" xfId="1" applyNumberFormat="1" applyFont="1" applyAlignment="1" applyProtection="1">
      <alignment vertical="center" wrapText="1"/>
      <protection locked="0"/>
    </xf>
    <xf numFmtId="164" fontId="7" fillId="0" borderId="1" xfId="1" applyNumberFormat="1" applyFont="1" applyBorder="1" applyAlignment="1" applyProtection="1">
      <alignment vertical="center" wrapText="1"/>
      <protection locked="0"/>
    </xf>
    <xf numFmtId="164" fontId="7" fillId="0" borderId="0" xfId="1" applyNumberFormat="1" applyFont="1" applyAlignment="1" applyProtection="1">
      <alignment vertical="center"/>
      <protection locked="0"/>
    </xf>
    <xf numFmtId="164" fontId="3" fillId="0" borderId="0" xfId="1" applyNumberFormat="1" applyFont="1" applyAlignment="1" applyProtection="1">
      <alignment horizontal="left" vertical="center"/>
      <protection locked="0"/>
    </xf>
    <xf numFmtId="164" fontId="5" fillId="0" borderId="0" xfId="1" applyNumberFormat="1" applyFont="1" applyAlignment="1" applyProtection="1">
      <alignment vertical="center"/>
      <protection locked="0"/>
    </xf>
    <xf numFmtId="164" fontId="7" fillId="0" borderId="0" xfId="1" applyNumberFormat="1" applyFont="1" applyAlignment="1" applyProtection="1">
      <alignment horizontal="center" vertical="center"/>
      <protection locked="0"/>
    </xf>
    <xf numFmtId="164" fontId="10" fillId="0" borderId="0" xfId="2" applyNumberFormat="1" applyFont="1" applyAlignment="1" applyProtection="1">
      <alignment horizontal="center" vertical="center"/>
      <protection locked="0"/>
    </xf>
    <xf numFmtId="164" fontId="10" fillId="0" borderId="0" xfId="2" applyNumberFormat="1" applyFont="1" applyAlignment="1" applyProtection="1">
      <alignment horizontal="center" vertical="center" wrapText="1"/>
      <protection locked="0"/>
    </xf>
    <xf numFmtId="164" fontId="3" fillId="0" borderId="14" xfId="2" applyNumberFormat="1" applyFont="1" applyBorder="1" applyAlignment="1" applyProtection="1">
      <alignment horizontal="center" vertical="center" wrapText="1"/>
      <protection locked="0"/>
    </xf>
    <xf numFmtId="164" fontId="10" fillId="0" borderId="0" xfId="2" applyNumberFormat="1" applyFont="1" applyAlignment="1" applyProtection="1">
      <alignment vertical="center"/>
      <protection locked="0"/>
    </xf>
    <xf numFmtId="164" fontId="3" fillId="0" borderId="3" xfId="2" applyNumberFormat="1" applyFont="1" applyBorder="1" applyAlignment="1" applyProtection="1">
      <alignment horizontal="center" vertical="center" textRotation="90" wrapText="1"/>
      <protection locked="0"/>
    </xf>
    <xf numFmtId="164" fontId="10" fillId="0" borderId="0" xfId="2" applyNumberFormat="1" applyFont="1" applyProtection="1">
      <protection locked="0"/>
    </xf>
    <xf numFmtId="164" fontId="10" fillId="0" borderId="7" xfId="2" applyNumberFormat="1" applyFont="1" applyBorder="1" applyProtection="1">
      <protection locked="0"/>
    </xf>
    <xf numFmtId="164" fontId="10" fillId="0" borderId="7" xfId="2" applyNumberFormat="1" applyFont="1" applyBorder="1" applyAlignment="1" applyProtection="1">
      <alignment vertical="center"/>
      <protection locked="0"/>
    </xf>
    <xf numFmtId="164" fontId="3" fillId="0" borderId="13" xfId="2" applyNumberFormat="1" applyFont="1" applyBorder="1" applyAlignment="1" applyProtection="1">
      <alignment horizontal="right" vertical="top" wrapText="1"/>
      <protection locked="0"/>
    </xf>
    <xf numFmtId="164" fontId="10" fillId="0" borderId="0" xfId="2" applyNumberFormat="1" applyFont="1"/>
    <xf numFmtId="164" fontId="3" fillId="0" borderId="14" xfId="2" applyNumberFormat="1" applyFont="1" applyBorder="1" applyAlignment="1" applyProtection="1">
      <alignment horizontal="right" vertical="top" wrapText="1"/>
      <protection locked="0"/>
    </xf>
    <xf numFmtId="164" fontId="12" fillId="0" borderId="14" xfId="2" applyNumberFormat="1" applyFont="1" applyBorder="1" applyAlignment="1" applyProtection="1">
      <alignment horizontal="right" vertical="top" wrapText="1"/>
      <protection locked="0"/>
    </xf>
    <xf numFmtId="164" fontId="12" fillId="0" borderId="14" xfId="2" applyNumberFormat="1" applyFont="1" applyBorder="1" applyAlignment="1">
      <alignment horizontal="right" vertical="center" wrapText="1"/>
    </xf>
    <xf numFmtId="164" fontId="12" fillId="0" borderId="6" xfId="2" applyNumberFormat="1" applyFont="1" applyBorder="1" applyAlignment="1">
      <alignment horizontal="right" vertical="center" wrapText="1"/>
    </xf>
    <xf numFmtId="164" fontId="3" fillId="0" borderId="2" xfId="2" applyNumberFormat="1" applyFont="1" applyBorder="1" applyAlignment="1" applyProtection="1">
      <alignment horizontal="right" vertical="top" wrapText="1"/>
      <protection locked="0"/>
    </xf>
    <xf numFmtId="164" fontId="3" fillId="0" borderId="3" xfId="2" applyNumberFormat="1" applyFont="1" applyBorder="1" applyAlignment="1" applyProtection="1">
      <alignment horizontal="right" vertical="center" wrapText="1"/>
      <protection locked="0"/>
    </xf>
    <xf numFmtId="164" fontId="3" fillId="0" borderId="6" xfId="2" applyNumberFormat="1" applyFont="1" applyBorder="1" applyAlignment="1" applyProtection="1">
      <alignment horizontal="right" vertical="center" wrapText="1"/>
      <protection locked="0"/>
    </xf>
    <xf numFmtId="164" fontId="3" fillId="0" borderId="0" xfId="2" applyNumberFormat="1" applyFont="1" applyAlignment="1" applyProtection="1">
      <alignment horizontal="left" vertical="center" wrapText="1"/>
      <protection locked="0"/>
    </xf>
    <xf numFmtId="164" fontId="10" fillId="0" borderId="0" xfId="2" applyNumberFormat="1" applyFont="1" applyAlignment="1" applyProtection="1">
      <alignment vertical="center" textRotation="90"/>
      <protection locked="0"/>
    </xf>
    <xf numFmtId="164" fontId="10" fillId="0" borderId="0" xfId="2" applyNumberFormat="1" applyFont="1" applyAlignment="1" applyProtection="1">
      <alignment textRotation="90"/>
      <protection locked="0"/>
    </xf>
    <xf numFmtId="164" fontId="3" fillId="0" borderId="13" xfId="2" applyNumberFormat="1" applyFont="1" applyBorder="1" applyAlignment="1" applyProtection="1">
      <alignment horizontal="left" vertical="top" wrapText="1"/>
      <protection locked="0"/>
    </xf>
    <xf numFmtId="164" fontId="3" fillId="0" borderId="14" xfId="2" applyNumberFormat="1" applyFont="1" applyBorder="1" applyAlignment="1" applyProtection="1">
      <alignment horizontal="left" vertical="top" wrapText="1"/>
      <protection locked="0"/>
    </xf>
    <xf numFmtId="164" fontId="12" fillId="0" borderId="14" xfId="2" applyNumberFormat="1" applyFont="1" applyBorder="1" applyAlignment="1" applyProtection="1">
      <alignment horizontal="left" vertical="top" wrapText="1"/>
      <protection locked="0"/>
    </xf>
    <xf numFmtId="164" fontId="10" fillId="0" borderId="0" xfId="1" applyNumberFormat="1" applyFont="1" applyAlignment="1" applyProtection="1">
      <alignment horizontal="left" vertical="center"/>
      <protection locked="0"/>
    </xf>
    <xf numFmtId="164" fontId="10" fillId="0" borderId="0" xfId="2" applyNumberFormat="1" applyFont="1" applyAlignment="1" applyProtection="1">
      <alignment horizontal="left" vertical="center"/>
      <protection locked="0"/>
    </xf>
    <xf numFmtId="1" fontId="3" fillId="0" borderId="0" xfId="1" applyNumberFormat="1" applyFont="1" applyAlignment="1" applyProtection="1">
      <alignment vertical="center"/>
      <protection locked="0"/>
    </xf>
    <xf numFmtId="1" fontId="7" fillId="0" borderId="0" xfId="1" applyNumberFormat="1" applyFont="1" applyAlignment="1" applyProtection="1">
      <alignment vertical="center"/>
      <protection locked="0"/>
    </xf>
    <xf numFmtId="1" fontId="3" fillId="0" borderId="2" xfId="2" applyNumberFormat="1" applyFont="1" applyBorder="1" applyAlignment="1" applyProtection="1">
      <alignment horizontal="center" vertical="center" wrapText="1"/>
      <protection locked="0"/>
    </xf>
    <xf numFmtId="1" fontId="3" fillId="0" borderId="13" xfId="2" applyNumberFormat="1" applyFont="1" applyBorder="1" applyAlignment="1" applyProtection="1">
      <alignment horizontal="right" vertical="center" wrapText="1"/>
      <protection locked="0"/>
    </xf>
    <xf numFmtId="1" fontId="3" fillId="0" borderId="14" xfId="2" applyNumberFormat="1" applyFont="1" applyBorder="1" applyAlignment="1" applyProtection="1">
      <alignment horizontal="right" vertical="center" wrapText="1"/>
      <protection locked="0"/>
    </xf>
    <xf numFmtId="1" fontId="3" fillId="0" borderId="2" xfId="2" applyNumberFormat="1" applyFont="1" applyBorder="1" applyAlignment="1" applyProtection="1">
      <alignment horizontal="right" vertical="center" wrapText="1"/>
      <protection locked="0"/>
    </xf>
    <xf numFmtId="1" fontId="3" fillId="0" borderId="0" xfId="2" applyNumberFormat="1" applyFont="1" applyAlignment="1" applyProtection="1">
      <alignment horizontal="center" vertical="center" wrapText="1"/>
      <protection locked="0"/>
    </xf>
    <xf numFmtId="1" fontId="3" fillId="0" borderId="14" xfId="2" applyNumberFormat="1" applyFont="1" applyBorder="1" applyAlignment="1" applyProtection="1">
      <alignment horizontal="center" vertical="center" textRotation="90" wrapText="1"/>
      <protection locked="0"/>
    </xf>
    <xf numFmtId="1" fontId="3" fillId="0" borderId="13" xfId="2" applyNumberFormat="1" applyFont="1" applyBorder="1" applyAlignment="1" applyProtection="1">
      <alignment horizontal="center" vertical="center" wrapText="1"/>
      <protection locked="0"/>
    </xf>
    <xf numFmtId="1" fontId="3" fillId="0" borderId="14" xfId="2" applyNumberFormat="1" applyFont="1" applyBorder="1" applyAlignment="1" applyProtection="1">
      <alignment horizontal="center" vertical="center" wrapText="1"/>
      <protection locked="0"/>
    </xf>
    <xf numFmtId="1" fontId="13" fillId="0" borderId="0" xfId="2" applyNumberFormat="1" applyFont="1" applyProtection="1">
      <protection locked="0"/>
    </xf>
    <xf numFmtId="1" fontId="13" fillId="0" borderId="0" xfId="2" applyNumberFormat="1" applyFont="1" applyAlignment="1" applyProtection="1">
      <alignment vertical="center"/>
      <protection locked="0"/>
    </xf>
    <xf numFmtId="164" fontId="10" fillId="0" borderId="0" xfId="2" applyNumberFormat="1" applyFont="1" applyAlignment="1">
      <alignment readingOrder="1"/>
    </xf>
    <xf numFmtId="164" fontId="14" fillId="0" borderId="0" xfId="0" applyNumberFormat="1" applyFont="1" applyAlignment="1">
      <alignment readingOrder="1"/>
    </xf>
    <xf numFmtId="2" fontId="3" fillId="2" borderId="0" xfId="2" applyNumberFormat="1" applyFont="1" applyFill="1" applyAlignment="1" applyProtection="1">
      <alignment horizontal="center" vertical="center" readingOrder="1"/>
      <protection locked="0"/>
    </xf>
    <xf numFmtId="0" fontId="14" fillId="0" borderId="0" xfId="0" applyFont="1" applyAlignment="1"/>
    <xf numFmtId="165" fontId="14" fillId="0" borderId="0" xfId="0" applyNumberFormat="1" applyFont="1" applyAlignment="1">
      <alignment readingOrder="1"/>
    </xf>
    <xf numFmtId="2" fontId="12" fillId="2" borderId="0" xfId="2" applyNumberFormat="1" applyFont="1" applyFill="1" applyAlignment="1">
      <alignment horizontal="center" vertical="center" readingOrder="1"/>
    </xf>
    <xf numFmtId="0" fontId="14" fillId="2" borderId="0" xfId="0" applyFont="1" applyFill="1" applyAlignment="1">
      <alignment horizontal="center" vertical="center" readingOrder="1"/>
    </xf>
    <xf numFmtId="164" fontId="10" fillId="0" borderId="14" xfId="2" applyNumberFormat="1" applyFont="1" applyBorder="1" applyAlignment="1" applyProtection="1">
      <alignment vertical="center"/>
      <protection locked="0"/>
    </xf>
    <xf numFmtId="1" fontId="3" fillId="0" borderId="14" xfId="2" applyNumberFormat="1" applyFont="1" applyBorder="1" applyAlignment="1" applyProtection="1">
      <alignment horizontal="left" vertical="center" wrapText="1"/>
      <protection locked="0"/>
    </xf>
    <xf numFmtId="164" fontId="14" fillId="0" borderId="0" xfId="0" applyNumberFormat="1" applyFont="1"/>
    <xf numFmtId="0" fontId="14" fillId="0" borderId="0" xfId="0" applyFont="1"/>
    <xf numFmtId="165" fontId="14" fillId="0" borderId="0" xfId="0" applyNumberFormat="1" applyFont="1"/>
    <xf numFmtId="2" fontId="3" fillId="2" borderId="0" xfId="2" applyNumberFormat="1" applyFont="1" applyFill="1" applyAlignment="1" applyProtection="1">
      <alignment horizontal="center" vertical="center" wrapText="1"/>
      <protection locked="0"/>
    </xf>
    <xf numFmtId="2" fontId="12" fillId="2" borderId="0" xfId="2" applyNumberFormat="1" applyFont="1" applyFill="1" applyAlignment="1">
      <alignment horizontal="center" vertical="center" wrapText="1"/>
    </xf>
    <xf numFmtId="1" fontId="3" fillId="0" borderId="0" xfId="2" applyNumberFormat="1" applyFont="1" applyBorder="1" applyAlignment="1" applyProtection="1">
      <alignment horizontal="left" vertical="center" wrapText="1"/>
      <protection locked="0"/>
    </xf>
    <xf numFmtId="164" fontId="10" fillId="0" borderId="0" xfId="2" applyNumberFormat="1" applyFont="1" applyBorder="1" applyAlignment="1" applyProtection="1">
      <alignment vertical="center"/>
      <protection locked="0"/>
    </xf>
    <xf numFmtId="0" fontId="15" fillId="0" borderId="0" xfId="4"/>
    <xf numFmtId="49" fontId="10" fillId="0" borderId="0" xfId="2" applyNumberFormat="1" applyFont="1" applyAlignment="1" applyProtection="1">
      <alignment vertical="center"/>
      <protection locked="0"/>
    </xf>
    <xf numFmtId="1" fontId="3" fillId="0" borderId="2" xfId="2" applyNumberFormat="1" applyFont="1" applyBorder="1" applyAlignment="1" applyProtection="1">
      <alignment horizontal="center" vertical="center" wrapText="1"/>
      <protection locked="0"/>
    </xf>
    <xf numFmtId="1" fontId="3" fillId="0" borderId="10" xfId="2" applyNumberFormat="1" applyFont="1" applyBorder="1" applyAlignment="1" applyProtection="1">
      <alignment horizontal="center" vertical="center" wrapText="1"/>
      <protection locked="0"/>
    </xf>
    <xf numFmtId="1" fontId="3" fillId="0" borderId="13" xfId="2" applyNumberFormat="1" applyFont="1" applyBorder="1" applyAlignment="1" applyProtection="1">
      <alignment horizontal="center" vertical="center" wrapText="1"/>
      <protection locked="0"/>
    </xf>
    <xf numFmtId="164" fontId="4" fillId="0" borderId="0" xfId="1" applyNumberFormat="1" applyFont="1" applyAlignment="1" applyProtection="1">
      <alignment horizontal="center" vertical="center"/>
      <protection locked="0"/>
    </xf>
    <xf numFmtId="164" fontId="7" fillId="0" borderId="0" xfId="1" applyNumberFormat="1" applyFont="1" applyAlignment="1" applyProtection="1">
      <alignment horizontal="center" vertical="center" wrapText="1"/>
      <protection locked="0"/>
    </xf>
    <xf numFmtId="164" fontId="7" fillId="0" borderId="1" xfId="1" applyNumberFormat="1" applyFont="1" applyBorder="1" applyAlignment="1" applyProtection="1">
      <alignment horizontal="center" vertical="center" wrapText="1"/>
      <protection locked="0"/>
    </xf>
    <xf numFmtId="164" fontId="3" fillId="0" borderId="2" xfId="2" applyNumberFormat="1" applyFont="1" applyBorder="1" applyAlignment="1" applyProtection="1">
      <alignment horizontal="center" vertical="center" wrapText="1"/>
      <protection locked="0"/>
    </xf>
    <xf numFmtId="164" fontId="3" fillId="0" borderId="10" xfId="2" applyNumberFormat="1" applyFont="1" applyBorder="1" applyAlignment="1" applyProtection="1">
      <alignment horizontal="center" vertical="center" wrapText="1"/>
      <protection locked="0"/>
    </xf>
    <xf numFmtId="164" fontId="3" fillId="0" borderId="13" xfId="2" applyNumberFormat="1" applyFont="1" applyBorder="1" applyAlignment="1" applyProtection="1">
      <alignment horizontal="center" vertical="center" wrapText="1"/>
      <protection locked="0"/>
    </xf>
    <xf numFmtId="164" fontId="3" fillId="0" borderId="2" xfId="2" applyNumberFormat="1" applyFont="1" applyBorder="1" applyAlignment="1" applyProtection="1">
      <alignment horizontal="center" vertical="center" textRotation="90" wrapText="1"/>
      <protection locked="0"/>
    </xf>
    <xf numFmtId="164" fontId="3" fillId="0" borderId="10" xfId="2" applyNumberFormat="1" applyFont="1" applyBorder="1" applyAlignment="1" applyProtection="1">
      <alignment horizontal="center" vertical="center" textRotation="90" wrapText="1"/>
      <protection locked="0"/>
    </xf>
    <xf numFmtId="164" fontId="3" fillId="0" borderId="13" xfId="2" applyNumberFormat="1" applyFont="1" applyBorder="1" applyAlignment="1" applyProtection="1">
      <alignment horizontal="center" vertical="center" textRotation="90" wrapText="1"/>
      <protection locked="0"/>
    </xf>
    <xf numFmtId="164" fontId="3" fillId="0" borderId="3" xfId="2" applyNumberFormat="1" applyFont="1" applyBorder="1" applyAlignment="1" applyProtection="1">
      <alignment horizontal="center" vertical="center" wrapText="1"/>
      <protection locked="0"/>
    </xf>
    <xf numFmtId="164" fontId="3" fillId="0" borderId="4" xfId="2" applyNumberFormat="1" applyFont="1" applyBorder="1" applyAlignment="1" applyProtection="1">
      <alignment horizontal="center" vertical="center" wrapText="1"/>
      <protection locked="0"/>
    </xf>
    <xf numFmtId="164" fontId="3" fillId="0" borderId="5" xfId="2" applyNumberFormat="1" applyFont="1" applyBorder="1" applyAlignment="1" applyProtection="1">
      <alignment horizontal="center" vertical="center" wrapText="1"/>
      <protection locked="0"/>
    </xf>
    <xf numFmtId="164" fontId="3" fillId="0" borderId="11" xfId="2" applyNumberFormat="1" applyFont="1" applyBorder="1" applyAlignment="1" applyProtection="1">
      <alignment horizontal="center" vertical="center" wrapText="1"/>
      <protection locked="0"/>
    </xf>
    <xf numFmtId="164" fontId="3" fillId="0" borderId="1" xfId="2" applyNumberFormat="1" applyFont="1" applyBorder="1" applyAlignment="1" applyProtection="1">
      <alignment horizontal="center" vertical="center" wrapText="1"/>
      <protection locked="0"/>
    </xf>
    <xf numFmtId="164" fontId="3" fillId="0" borderId="12" xfId="2" applyNumberFormat="1" applyFont="1" applyBorder="1" applyAlignment="1" applyProtection="1">
      <alignment horizontal="center" vertical="center" wrapText="1"/>
      <protection locked="0"/>
    </xf>
    <xf numFmtId="164" fontId="3" fillId="0" borderId="6" xfId="2" applyNumberFormat="1" applyFont="1" applyBorder="1" applyAlignment="1" applyProtection="1">
      <alignment horizontal="left" vertical="center" wrapText="1"/>
      <protection locked="0"/>
    </xf>
    <xf numFmtId="164" fontId="3" fillId="0" borderId="7" xfId="2" applyNumberFormat="1" applyFont="1" applyBorder="1" applyAlignment="1" applyProtection="1">
      <alignment horizontal="left" vertical="center" wrapText="1"/>
      <protection locked="0"/>
    </xf>
    <xf numFmtId="164" fontId="3" fillId="0" borderId="8" xfId="2" applyNumberFormat="1" applyFont="1" applyBorder="1" applyAlignment="1" applyProtection="1">
      <alignment horizontal="left" vertical="center" wrapText="1"/>
      <protection locked="0"/>
    </xf>
    <xf numFmtId="164" fontId="3" fillId="0" borderId="6" xfId="2" applyNumberFormat="1" applyFont="1" applyBorder="1" applyAlignment="1" applyProtection="1">
      <alignment horizontal="center" vertical="center" wrapText="1"/>
      <protection locked="0"/>
    </xf>
    <xf numFmtId="164" fontId="3" fillId="0" borderId="8" xfId="2" applyNumberFormat="1" applyFont="1" applyBorder="1" applyAlignment="1" applyProtection="1">
      <alignment horizontal="center" vertical="center" wrapText="1"/>
      <protection locked="0"/>
    </xf>
    <xf numFmtId="164" fontId="9" fillId="0" borderId="9" xfId="2" applyNumberFormat="1" applyFont="1" applyBorder="1" applyAlignment="1" applyProtection="1">
      <alignment horizontal="center" vertical="center"/>
      <protection locked="0"/>
    </xf>
    <xf numFmtId="164" fontId="11" fillId="0" borderId="9" xfId="2" applyNumberFormat="1" applyFont="1" applyBorder="1" applyAlignment="1" applyProtection="1">
      <alignment horizontal="center" vertical="center"/>
      <protection locked="0"/>
    </xf>
    <xf numFmtId="164" fontId="3" fillId="0" borderId="7" xfId="2" applyNumberFormat="1" applyFont="1" applyBorder="1" applyAlignment="1" applyProtection="1">
      <alignment horizontal="center" vertical="center" wrapText="1"/>
      <protection locked="0"/>
    </xf>
    <xf numFmtId="164" fontId="7" fillId="0" borderId="0" xfId="1" applyNumberFormat="1" applyFont="1" applyAlignment="1" applyProtection="1">
      <alignment horizontal="center" vertical="center"/>
      <protection locked="0"/>
    </xf>
    <xf numFmtId="164" fontId="3" fillId="0" borderId="6" xfId="2" applyNumberFormat="1" applyFont="1" applyBorder="1" applyAlignment="1" applyProtection="1">
      <alignment horizontal="center" vertical="top" wrapText="1"/>
      <protection locked="0"/>
    </xf>
    <xf numFmtId="164" fontId="3" fillId="0" borderId="7" xfId="2" applyNumberFormat="1" applyFont="1" applyBorder="1" applyAlignment="1" applyProtection="1">
      <alignment horizontal="center" vertical="top" wrapText="1"/>
      <protection locked="0"/>
    </xf>
    <xf numFmtId="164" fontId="3" fillId="0" borderId="8" xfId="2" applyNumberFormat="1" applyFont="1" applyBorder="1" applyAlignment="1" applyProtection="1">
      <alignment horizontal="center" vertical="top" wrapText="1"/>
      <protection locked="0"/>
    </xf>
    <xf numFmtId="164" fontId="3" fillId="0" borderId="2" xfId="2" applyNumberFormat="1" applyFont="1" applyBorder="1" applyAlignment="1" applyProtection="1">
      <alignment vertical="center" textRotation="90" wrapText="1"/>
      <protection locked="0"/>
    </xf>
    <xf numFmtId="164" fontId="3" fillId="0" borderId="10" xfId="2" applyNumberFormat="1" applyFont="1" applyBorder="1" applyAlignment="1" applyProtection="1">
      <alignment vertical="center" textRotation="90" wrapText="1"/>
      <protection locked="0"/>
    </xf>
    <xf numFmtId="164" fontId="3" fillId="0" borderId="13" xfId="2" applyNumberFormat="1" applyFont="1" applyBorder="1" applyAlignment="1" applyProtection="1">
      <alignment vertical="center" textRotation="90" wrapText="1"/>
      <protection locked="0"/>
    </xf>
    <xf numFmtId="164" fontId="7" fillId="0" borderId="1" xfId="1" applyNumberFormat="1" applyFont="1" applyBorder="1" applyAlignment="1" applyProtection="1">
      <alignment horizontal="left" vertical="center"/>
      <protection locked="0"/>
    </xf>
    <xf numFmtId="164" fontId="3" fillId="0" borderId="13" xfId="3" applyNumberFormat="1" applyFont="1" applyBorder="1" applyAlignment="1" applyProtection="1">
      <alignment horizontal="center" vertical="center" wrapText="1"/>
      <protection locked="0"/>
    </xf>
    <xf numFmtId="164" fontId="3" fillId="0" borderId="11" xfId="3" applyNumberFormat="1" applyFont="1" applyBorder="1" applyAlignment="1" applyProtection="1">
      <alignment horizontal="center" vertical="center" wrapText="1"/>
      <protection locked="0"/>
    </xf>
    <xf numFmtId="164" fontId="3" fillId="0" borderId="1" xfId="3" applyNumberFormat="1" applyFont="1" applyBorder="1" applyAlignment="1" applyProtection="1">
      <alignment horizontal="center" vertical="center" wrapText="1"/>
      <protection locked="0"/>
    </xf>
    <xf numFmtId="164" fontId="3" fillId="0" borderId="12" xfId="3" applyNumberFormat="1" applyFont="1" applyBorder="1" applyAlignment="1" applyProtection="1">
      <alignment horizontal="center" vertical="center" wrapText="1"/>
      <protection locked="0"/>
    </xf>
    <xf numFmtId="164" fontId="3" fillId="0" borderId="7" xfId="3" applyNumberFormat="1" applyFont="1" applyBorder="1" applyAlignment="1" applyProtection="1">
      <alignment horizontal="left" vertical="center" wrapText="1"/>
      <protection locked="0"/>
    </xf>
    <xf numFmtId="164" fontId="3" fillId="0" borderId="8" xfId="3" applyNumberFormat="1" applyFont="1" applyBorder="1" applyAlignment="1" applyProtection="1">
      <alignment horizontal="left" vertical="center" wrapText="1"/>
      <protection locked="0"/>
    </xf>
    <xf numFmtId="164" fontId="3" fillId="0" borderId="10" xfId="3" applyNumberFormat="1" applyFont="1" applyBorder="1" applyAlignment="1" applyProtection="1">
      <alignment horizontal="center" vertical="center" textRotation="90"/>
      <protection locked="0"/>
    </xf>
    <xf numFmtId="164" fontId="3" fillId="0" borderId="13" xfId="3" applyNumberFormat="1" applyFont="1" applyBorder="1" applyAlignment="1" applyProtection="1">
      <alignment horizontal="center" vertical="center" textRotation="90"/>
      <protection locked="0"/>
    </xf>
    <xf numFmtId="164" fontId="3" fillId="0" borderId="10" xfId="3" applyNumberFormat="1" applyFont="1" applyBorder="1" applyAlignment="1" applyProtection="1">
      <alignment horizontal="center" vertical="center" textRotation="90" wrapText="1"/>
      <protection locked="0"/>
    </xf>
    <xf numFmtId="164" fontId="3" fillId="0" borderId="13" xfId="3" applyNumberFormat="1" applyFont="1" applyBorder="1" applyAlignment="1" applyProtection="1">
      <alignment horizontal="center" vertical="center" textRotation="90" wrapText="1"/>
      <protection locked="0"/>
    </xf>
    <xf numFmtId="164" fontId="3" fillId="0" borderId="8" xfId="3" applyNumberFormat="1" applyFont="1" applyBorder="1" applyAlignment="1" applyProtection="1">
      <alignment horizontal="center" vertical="center" wrapText="1"/>
      <protection locked="0"/>
    </xf>
    <xf numFmtId="164" fontId="11" fillId="0" borderId="9" xfId="0" applyNumberFormat="1" applyFont="1" applyBorder="1" applyAlignment="1" applyProtection="1">
      <alignment horizontal="center" vertical="center"/>
      <protection locked="0"/>
    </xf>
    <xf numFmtId="164" fontId="3" fillId="0" borderId="7" xfId="3" applyNumberFormat="1" applyFont="1" applyBorder="1" applyAlignment="1" applyProtection="1">
      <alignment horizontal="center" vertical="center" wrapText="1"/>
      <protection locked="0"/>
    </xf>
    <xf numFmtId="164" fontId="10" fillId="0" borderId="0" xfId="2" applyNumberFormat="1" applyFont="1" applyAlignment="1" applyProtection="1">
      <alignment horizontal="left" wrapText="1"/>
      <protection locked="0"/>
    </xf>
    <xf numFmtId="164" fontId="2" fillId="0" borderId="0" xfId="1" applyNumberFormat="1" applyAlignment="1" applyProtection="1">
      <alignment wrapText="1"/>
      <protection locked="0"/>
    </xf>
  </cellXfs>
  <cellStyles count="5">
    <cellStyle name="Гиперссылка" xfId="4" builtinId="8"/>
    <cellStyle name="Обычный" xfId="0" builtinId="0"/>
    <cellStyle name="Обычный 2 2" xfId="2" xr:uid="{00000000-0005-0000-0000-000002000000}"/>
    <cellStyle name="Обычный 3 2" xfId="3" xr:uid="{00000000-0005-0000-0000-000003000000}"/>
    <cellStyle name="Обычный 4" xfId="1" xr:uid="{00000000-0005-0000-0000-000004000000}"/>
  </cellStyles>
  <dxfs count="5"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  <dxf>
      <font>
        <b/>
        <i val="0"/>
        <color rgb="FFFF0000"/>
      </font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72"/>
  <sheetViews>
    <sheetView tabSelected="1" topLeftCell="B4" zoomScale="55" zoomScaleNormal="55" workbookViewId="0">
      <pane xSplit="2" ySplit="9" topLeftCell="D13" activePane="bottomRight" state="frozen"/>
      <selection activeCell="C4" sqref="C4"/>
      <selection pane="topRight" activeCell="D4" sqref="D4"/>
      <selection pane="bottomLeft" activeCell="C13" sqref="C13"/>
      <selection pane="bottomRight" activeCell="I18" sqref="I18"/>
    </sheetView>
  </sheetViews>
  <sheetFormatPr defaultColWidth="9.140625" defaultRowHeight="15.75" x14ac:dyDescent="0.25"/>
  <cols>
    <col min="1" max="1" width="19.7109375" style="1" hidden="1" customWidth="1"/>
    <col min="2" max="2" width="26" style="1" hidden="1" customWidth="1"/>
    <col min="3" max="3" width="26.7109375" style="1" hidden="1" customWidth="1"/>
    <col min="4" max="4" width="13" style="1" customWidth="1"/>
    <col min="5" max="5" width="8.85546875" style="43" customWidth="1"/>
    <col min="6" max="6" width="13.28515625" style="15" customWidth="1"/>
    <col min="7" max="7" width="14.28515625" style="1" customWidth="1"/>
    <col min="8" max="8" width="13.5703125" style="1" customWidth="1"/>
    <col min="9" max="9" width="9.28515625" style="1" customWidth="1"/>
    <col min="10" max="10" width="10.5703125" style="1" customWidth="1"/>
    <col min="11" max="11" width="8.42578125" style="1" customWidth="1"/>
    <col min="12" max="12" width="8.85546875" style="1" customWidth="1"/>
    <col min="13" max="13" width="8.7109375" style="1" customWidth="1"/>
    <col min="14" max="14" width="9.42578125" style="1" customWidth="1"/>
    <col min="15" max="15" width="8" style="1" customWidth="1"/>
    <col min="16" max="16" width="9" style="1" customWidth="1"/>
    <col min="17" max="17" width="8.85546875" style="1" customWidth="1"/>
    <col min="18" max="18" width="11.140625" style="1" customWidth="1"/>
    <col min="19" max="19" width="9.28515625" style="1" customWidth="1"/>
    <col min="20" max="20" width="9.5703125" style="1" customWidth="1"/>
    <col min="21" max="21" width="9.7109375" style="1" customWidth="1"/>
    <col min="22" max="22" width="11.28515625" style="1" customWidth="1"/>
    <col min="23" max="25" width="9.28515625" style="1" customWidth="1"/>
    <col min="26" max="26" width="11.28515625" style="1" customWidth="1"/>
    <col min="27" max="27" width="9" style="1" customWidth="1"/>
    <col min="28" max="29" width="9.7109375" style="1" customWidth="1"/>
    <col min="30" max="30" width="11.140625" style="1" customWidth="1"/>
    <col min="31" max="31" width="9.5703125" style="1" customWidth="1"/>
    <col min="32" max="32" width="9.28515625" style="1" customWidth="1"/>
    <col min="33" max="33" width="8.85546875" style="1" customWidth="1"/>
    <col min="34" max="34" width="11.140625" style="1" customWidth="1"/>
    <col min="35" max="35" width="8.85546875" style="1" customWidth="1"/>
    <col min="36" max="36" width="9.5703125" style="1" customWidth="1"/>
    <col min="37" max="37" width="8.85546875" style="1" customWidth="1"/>
    <col min="38" max="39" width="11.140625" style="1" customWidth="1"/>
    <col min="40" max="40" width="9.5703125" style="1" customWidth="1"/>
    <col min="41" max="41" width="8.85546875" style="1" customWidth="1"/>
    <col min="42" max="42" width="11.140625" style="1" customWidth="1"/>
    <col min="43" max="43" width="8.85546875" style="1" customWidth="1"/>
    <col min="44" max="44" width="9.5703125" style="1" customWidth="1"/>
    <col min="45" max="45" width="8.85546875" style="1" customWidth="1"/>
    <col min="46" max="46" width="11.140625" style="1" customWidth="1"/>
    <col min="47" max="47" width="8.85546875" style="1" customWidth="1"/>
    <col min="48" max="48" width="9.5703125" style="1" customWidth="1"/>
    <col min="49" max="49" width="9.28515625" style="1" customWidth="1"/>
    <col min="50" max="50" width="11.42578125" style="1" customWidth="1"/>
    <col min="51" max="51" width="9.5703125" style="1" customWidth="1"/>
    <col min="52" max="52" width="10.28515625" style="1" customWidth="1"/>
    <col min="53" max="53" width="11.42578125" style="1" customWidth="1"/>
    <col min="54" max="54" width="10.85546875" style="1" customWidth="1"/>
    <col min="55" max="55" width="43.42578125" style="1" customWidth="1"/>
    <col min="56" max="272" width="9.140625" style="1"/>
    <col min="273" max="273" width="34.5703125" style="1" customWidth="1"/>
    <col min="274" max="274" width="13.28515625" style="1" customWidth="1"/>
    <col min="275" max="275" width="14.28515625" style="1" customWidth="1"/>
    <col min="276" max="276" width="13.5703125" style="1" customWidth="1"/>
    <col min="277" max="277" width="9.28515625" style="1" customWidth="1"/>
    <col min="278" max="278" width="10.5703125" style="1" customWidth="1"/>
    <col min="279" max="279" width="8.42578125" style="1" customWidth="1"/>
    <col min="280" max="280" width="8.85546875" style="1" customWidth="1"/>
    <col min="281" max="281" width="8.7109375" style="1" customWidth="1"/>
    <col min="282" max="282" width="9.42578125" style="1" customWidth="1"/>
    <col min="283" max="283" width="8" style="1" customWidth="1"/>
    <col min="284" max="284" width="9" style="1" customWidth="1"/>
    <col min="285" max="285" width="8.85546875" style="1" customWidth="1"/>
    <col min="286" max="286" width="11.140625" style="1" customWidth="1"/>
    <col min="287" max="287" width="9.28515625" style="1" customWidth="1"/>
    <col min="288" max="288" width="9.5703125" style="1" customWidth="1"/>
    <col min="289" max="289" width="9.7109375" style="1" customWidth="1"/>
    <col min="290" max="290" width="11.28515625" style="1" customWidth="1"/>
    <col min="291" max="293" width="9.28515625" style="1" customWidth="1"/>
    <col min="294" max="294" width="11.28515625" style="1" customWidth="1"/>
    <col min="295" max="295" width="9" style="1" customWidth="1"/>
    <col min="296" max="297" width="9.7109375" style="1" customWidth="1"/>
    <col min="298" max="298" width="11.140625" style="1" customWidth="1"/>
    <col min="299" max="299" width="9.5703125" style="1" customWidth="1"/>
    <col min="300" max="300" width="9.28515625" style="1" customWidth="1"/>
    <col min="301" max="301" width="8.85546875" style="1" customWidth="1"/>
    <col min="302" max="302" width="11.140625" style="1" customWidth="1"/>
    <col min="303" max="303" width="8.85546875" style="1" customWidth="1"/>
    <col min="304" max="304" width="9.5703125" style="1" customWidth="1"/>
    <col min="305" max="305" width="9.28515625" style="1" customWidth="1"/>
    <col min="306" max="306" width="11.42578125" style="1" customWidth="1"/>
    <col min="307" max="307" width="9.5703125" style="1" customWidth="1"/>
    <col min="308" max="308" width="10.28515625" style="1" customWidth="1"/>
    <col min="309" max="309" width="11.42578125" style="1" customWidth="1"/>
    <col min="310" max="310" width="10.85546875" style="1" customWidth="1"/>
    <col min="311" max="311" width="43.42578125" style="1" customWidth="1"/>
    <col min="312" max="528" width="9.140625" style="1"/>
    <col min="529" max="529" width="34.5703125" style="1" customWidth="1"/>
    <col min="530" max="530" width="13.28515625" style="1" customWidth="1"/>
    <col min="531" max="531" width="14.28515625" style="1" customWidth="1"/>
    <col min="532" max="532" width="13.5703125" style="1" customWidth="1"/>
    <col min="533" max="533" width="9.28515625" style="1" customWidth="1"/>
    <col min="534" max="534" width="10.5703125" style="1" customWidth="1"/>
    <col min="535" max="535" width="8.42578125" style="1" customWidth="1"/>
    <col min="536" max="536" width="8.85546875" style="1" customWidth="1"/>
    <col min="537" max="537" width="8.7109375" style="1" customWidth="1"/>
    <col min="538" max="538" width="9.42578125" style="1" customWidth="1"/>
    <col min="539" max="539" width="8" style="1" customWidth="1"/>
    <col min="540" max="540" width="9" style="1" customWidth="1"/>
    <col min="541" max="541" width="8.85546875" style="1" customWidth="1"/>
    <col min="542" max="542" width="11.140625" style="1" customWidth="1"/>
    <col min="543" max="543" width="9.28515625" style="1" customWidth="1"/>
    <col min="544" max="544" width="9.5703125" style="1" customWidth="1"/>
    <col min="545" max="545" width="9.7109375" style="1" customWidth="1"/>
    <col min="546" max="546" width="11.28515625" style="1" customWidth="1"/>
    <col min="547" max="549" width="9.28515625" style="1" customWidth="1"/>
    <col min="550" max="550" width="11.28515625" style="1" customWidth="1"/>
    <col min="551" max="551" width="9" style="1" customWidth="1"/>
    <col min="552" max="553" width="9.7109375" style="1" customWidth="1"/>
    <col min="554" max="554" width="11.140625" style="1" customWidth="1"/>
    <col min="555" max="555" width="9.5703125" style="1" customWidth="1"/>
    <col min="556" max="556" width="9.28515625" style="1" customWidth="1"/>
    <col min="557" max="557" width="8.85546875" style="1" customWidth="1"/>
    <col min="558" max="558" width="11.140625" style="1" customWidth="1"/>
    <col min="559" max="559" width="8.85546875" style="1" customWidth="1"/>
    <col min="560" max="560" width="9.5703125" style="1" customWidth="1"/>
    <col min="561" max="561" width="9.28515625" style="1" customWidth="1"/>
    <col min="562" max="562" width="11.42578125" style="1" customWidth="1"/>
    <col min="563" max="563" width="9.5703125" style="1" customWidth="1"/>
    <col min="564" max="564" width="10.28515625" style="1" customWidth="1"/>
    <col min="565" max="565" width="11.42578125" style="1" customWidth="1"/>
    <col min="566" max="566" width="10.85546875" style="1" customWidth="1"/>
    <col min="567" max="567" width="43.42578125" style="1" customWidth="1"/>
    <col min="568" max="784" width="9.140625" style="1"/>
    <col min="785" max="785" width="34.5703125" style="1" customWidth="1"/>
    <col min="786" max="786" width="13.28515625" style="1" customWidth="1"/>
    <col min="787" max="787" width="14.28515625" style="1" customWidth="1"/>
    <col min="788" max="788" width="13.5703125" style="1" customWidth="1"/>
    <col min="789" max="789" width="9.28515625" style="1" customWidth="1"/>
    <col min="790" max="790" width="10.5703125" style="1" customWidth="1"/>
    <col min="791" max="791" width="8.42578125" style="1" customWidth="1"/>
    <col min="792" max="792" width="8.85546875" style="1" customWidth="1"/>
    <col min="793" max="793" width="8.7109375" style="1" customWidth="1"/>
    <col min="794" max="794" width="9.42578125" style="1" customWidth="1"/>
    <col min="795" max="795" width="8" style="1" customWidth="1"/>
    <col min="796" max="796" width="9" style="1" customWidth="1"/>
    <col min="797" max="797" width="8.85546875" style="1" customWidth="1"/>
    <col min="798" max="798" width="11.140625" style="1" customWidth="1"/>
    <col min="799" max="799" width="9.28515625" style="1" customWidth="1"/>
    <col min="800" max="800" width="9.5703125" style="1" customWidth="1"/>
    <col min="801" max="801" width="9.7109375" style="1" customWidth="1"/>
    <col min="802" max="802" width="11.28515625" style="1" customWidth="1"/>
    <col min="803" max="805" width="9.28515625" style="1" customWidth="1"/>
    <col min="806" max="806" width="11.28515625" style="1" customWidth="1"/>
    <col min="807" max="807" width="9" style="1" customWidth="1"/>
    <col min="808" max="809" width="9.7109375" style="1" customWidth="1"/>
    <col min="810" max="810" width="11.140625" style="1" customWidth="1"/>
    <col min="811" max="811" width="9.5703125" style="1" customWidth="1"/>
    <col min="812" max="812" width="9.28515625" style="1" customWidth="1"/>
    <col min="813" max="813" width="8.85546875" style="1" customWidth="1"/>
    <col min="814" max="814" width="11.140625" style="1" customWidth="1"/>
    <col min="815" max="815" width="8.85546875" style="1" customWidth="1"/>
    <col min="816" max="816" width="9.5703125" style="1" customWidth="1"/>
    <col min="817" max="817" width="9.28515625" style="1" customWidth="1"/>
    <col min="818" max="818" width="11.42578125" style="1" customWidth="1"/>
    <col min="819" max="819" width="9.5703125" style="1" customWidth="1"/>
    <col min="820" max="820" width="10.28515625" style="1" customWidth="1"/>
    <col min="821" max="821" width="11.42578125" style="1" customWidth="1"/>
    <col min="822" max="822" width="10.85546875" style="1" customWidth="1"/>
    <col min="823" max="823" width="43.42578125" style="1" customWidth="1"/>
    <col min="824" max="1040" width="9.140625" style="1"/>
    <col min="1041" max="1041" width="34.5703125" style="1" customWidth="1"/>
    <col min="1042" max="1042" width="13.28515625" style="1" customWidth="1"/>
    <col min="1043" max="1043" width="14.28515625" style="1" customWidth="1"/>
    <col min="1044" max="1044" width="13.5703125" style="1" customWidth="1"/>
    <col min="1045" max="1045" width="9.28515625" style="1" customWidth="1"/>
    <col min="1046" max="1046" width="10.5703125" style="1" customWidth="1"/>
    <col min="1047" max="1047" width="8.42578125" style="1" customWidth="1"/>
    <col min="1048" max="1048" width="8.85546875" style="1" customWidth="1"/>
    <col min="1049" max="1049" width="8.7109375" style="1" customWidth="1"/>
    <col min="1050" max="1050" width="9.42578125" style="1" customWidth="1"/>
    <col min="1051" max="1051" width="8" style="1" customWidth="1"/>
    <col min="1052" max="1052" width="9" style="1" customWidth="1"/>
    <col min="1053" max="1053" width="8.85546875" style="1" customWidth="1"/>
    <col min="1054" max="1054" width="11.140625" style="1" customWidth="1"/>
    <col min="1055" max="1055" width="9.28515625" style="1" customWidth="1"/>
    <col min="1056" max="1056" width="9.5703125" style="1" customWidth="1"/>
    <col min="1057" max="1057" width="9.7109375" style="1" customWidth="1"/>
    <col min="1058" max="1058" width="11.28515625" style="1" customWidth="1"/>
    <col min="1059" max="1061" width="9.28515625" style="1" customWidth="1"/>
    <col min="1062" max="1062" width="11.28515625" style="1" customWidth="1"/>
    <col min="1063" max="1063" width="9" style="1" customWidth="1"/>
    <col min="1064" max="1065" width="9.7109375" style="1" customWidth="1"/>
    <col min="1066" max="1066" width="11.140625" style="1" customWidth="1"/>
    <col min="1067" max="1067" width="9.5703125" style="1" customWidth="1"/>
    <col min="1068" max="1068" width="9.28515625" style="1" customWidth="1"/>
    <col min="1069" max="1069" width="8.85546875" style="1" customWidth="1"/>
    <col min="1070" max="1070" width="11.140625" style="1" customWidth="1"/>
    <col min="1071" max="1071" width="8.85546875" style="1" customWidth="1"/>
    <col min="1072" max="1072" width="9.5703125" style="1" customWidth="1"/>
    <col min="1073" max="1073" width="9.28515625" style="1" customWidth="1"/>
    <col min="1074" max="1074" width="11.42578125" style="1" customWidth="1"/>
    <col min="1075" max="1075" width="9.5703125" style="1" customWidth="1"/>
    <col min="1076" max="1076" width="10.28515625" style="1" customWidth="1"/>
    <col min="1077" max="1077" width="11.42578125" style="1" customWidth="1"/>
    <col min="1078" max="1078" width="10.85546875" style="1" customWidth="1"/>
    <col min="1079" max="1079" width="43.42578125" style="1" customWidth="1"/>
    <col min="1080" max="1296" width="9.140625" style="1"/>
    <col min="1297" max="1297" width="34.5703125" style="1" customWidth="1"/>
    <col min="1298" max="1298" width="13.28515625" style="1" customWidth="1"/>
    <col min="1299" max="1299" width="14.28515625" style="1" customWidth="1"/>
    <col min="1300" max="1300" width="13.5703125" style="1" customWidth="1"/>
    <col min="1301" max="1301" width="9.28515625" style="1" customWidth="1"/>
    <col min="1302" max="1302" width="10.5703125" style="1" customWidth="1"/>
    <col min="1303" max="1303" width="8.42578125" style="1" customWidth="1"/>
    <col min="1304" max="1304" width="8.85546875" style="1" customWidth="1"/>
    <col min="1305" max="1305" width="8.7109375" style="1" customWidth="1"/>
    <col min="1306" max="1306" width="9.42578125" style="1" customWidth="1"/>
    <col min="1307" max="1307" width="8" style="1" customWidth="1"/>
    <col min="1308" max="1308" width="9" style="1" customWidth="1"/>
    <col min="1309" max="1309" width="8.85546875" style="1" customWidth="1"/>
    <col min="1310" max="1310" width="11.140625" style="1" customWidth="1"/>
    <col min="1311" max="1311" width="9.28515625" style="1" customWidth="1"/>
    <col min="1312" max="1312" width="9.5703125" style="1" customWidth="1"/>
    <col min="1313" max="1313" width="9.7109375" style="1" customWidth="1"/>
    <col min="1314" max="1314" width="11.28515625" style="1" customWidth="1"/>
    <col min="1315" max="1317" width="9.28515625" style="1" customWidth="1"/>
    <col min="1318" max="1318" width="11.28515625" style="1" customWidth="1"/>
    <col min="1319" max="1319" width="9" style="1" customWidth="1"/>
    <col min="1320" max="1321" width="9.7109375" style="1" customWidth="1"/>
    <col min="1322" max="1322" width="11.140625" style="1" customWidth="1"/>
    <col min="1323" max="1323" width="9.5703125" style="1" customWidth="1"/>
    <col min="1324" max="1324" width="9.28515625" style="1" customWidth="1"/>
    <col min="1325" max="1325" width="8.85546875" style="1" customWidth="1"/>
    <col min="1326" max="1326" width="11.140625" style="1" customWidth="1"/>
    <col min="1327" max="1327" width="8.85546875" style="1" customWidth="1"/>
    <col min="1328" max="1328" width="9.5703125" style="1" customWidth="1"/>
    <col min="1329" max="1329" width="9.28515625" style="1" customWidth="1"/>
    <col min="1330" max="1330" width="11.42578125" style="1" customWidth="1"/>
    <col min="1331" max="1331" width="9.5703125" style="1" customWidth="1"/>
    <col min="1332" max="1332" width="10.28515625" style="1" customWidth="1"/>
    <col min="1333" max="1333" width="11.42578125" style="1" customWidth="1"/>
    <col min="1334" max="1334" width="10.85546875" style="1" customWidth="1"/>
    <col min="1335" max="1335" width="43.42578125" style="1" customWidth="1"/>
    <col min="1336" max="1552" width="9.140625" style="1"/>
    <col min="1553" max="1553" width="34.5703125" style="1" customWidth="1"/>
    <col min="1554" max="1554" width="13.28515625" style="1" customWidth="1"/>
    <col min="1555" max="1555" width="14.28515625" style="1" customWidth="1"/>
    <col min="1556" max="1556" width="13.5703125" style="1" customWidth="1"/>
    <col min="1557" max="1557" width="9.28515625" style="1" customWidth="1"/>
    <col min="1558" max="1558" width="10.5703125" style="1" customWidth="1"/>
    <col min="1559" max="1559" width="8.42578125" style="1" customWidth="1"/>
    <col min="1560" max="1560" width="8.85546875" style="1" customWidth="1"/>
    <col min="1561" max="1561" width="8.7109375" style="1" customWidth="1"/>
    <col min="1562" max="1562" width="9.42578125" style="1" customWidth="1"/>
    <col min="1563" max="1563" width="8" style="1" customWidth="1"/>
    <col min="1564" max="1564" width="9" style="1" customWidth="1"/>
    <col min="1565" max="1565" width="8.85546875" style="1" customWidth="1"/>
    <col min="1566" max="1566" width="11.140625" style="1" customWidth="1"/>
    <col min="1567" max="1567" width="9.28515625" style="1" customWidth="1"/>
    <col min="1568" max="1568" width="9.5703125" style="1" customWidth="1"/>
    <col min="1569" max="1569" width="9.7109375" style="1" customWidth="1"/>
    <col min="1570" max="1570" width="11.28515625" style="1" customWidth="1"/>
    <col min="1571" max="1573" width="9.28515625" style="1" customWidth="1"/>
    <col min="1574" max="1574" width="11.28515625" style="1" customWidth="1"/>
    <col min="1575" max="1575" width="9" style="1" customWidth="1"/>
    <col min="1576" max="1577" width="9.7109375" style="1" customWidth="1"/>
    <col min="1578" max="1578" width="11.140625" style="1" customWidth="1"/>
    <col min="1579" max="1579" width="9.5703125" style="1" customWidth="1"/>
    <col min="1580" max="1580" width="9.28515625" style="1" customWidth="1"/>
    <col min="1581" max="1581" width="8.85546875" style="1" customWidth="1"/>
    <col min="1582" max="1582" width="11.140625" style="1" customWidth="1"/>
    <col min="1583" max="1583" width="8.85546875" style="1" customWidth="1"/>
    <col min="1584" max="1584" width="9.5703125" style="1" customWidth="1"/>
    <col min="1585" max="1585" width="9.28515625" style="1" customWidth="1"/>
    <col min="1586" max="1586" width="11.42578125" style="1" customWidth="1"/>
    <col min="1587" max="1587" width="9.5703125" style="1" customWidth="1"/>
    <col min="1588" max="1588" width="10.28515625" style="1" customWidth="1"/>
    <col min="1589" max="1589" width="11.42578125" style="1" customWidth="1"/>
    <col min="1590" max="1590" width="10.85546875" style="1" customWidth="1"/>
    <col min="1591" max="1591" width="43.42578125" style="1" customWidth="1"/>
    <col min="1592" max="1808" width="9.140625" style="1"/>
    <col min="1809" max="1809" width="34.5703125" style="1" customWidth="1"/>
    <col min="1810" max="1810" width="13.28515625" style="1" customWidth="1"/>
    <col min="1811" max="1811" width="14.28515625" style="1" customWidth="1"/>
    <col min="1812" max="1812" width="13.5703125" style="1" customWidth="1"/>
    <col min="1813" max="1813" width="9.28515625" style="1" customWidth="1"/>
    <col min="1814" max="1814" width="10.5703125" style="1" customWidth="1"/>
    <col min="1815" max="1815" width="8.42578125" style="1" customWidth="1"/>
    <col min="1816" max="1816" width="8.85546875" style="1" customWidth="1"/>
    <col min="1817" max="1817" width="8.7109375" style="1" customWidth="1"/>
    <col min="1818" max="1818" width="9.42578125" style="1" customWidth="1"/>
    <col min="1819" max="1819" width="8" style="1" customWidth="1"/>
    <col min="1820" max="1820" width="9" style="1" customWidth="1"/>
    <col min="1821" max="1821" width="8.85546875" style="1" customWidth="1"/>
    <col min="1822" max="1822" width="11.140625" style="1" customWidth="1"/>
    <col min="1823" max="1823" width="9.28515625" style="1" customWidth="1"/>
    <col min="1824" max="1824" width="9.5703125" style="1" customWidth="1"/>
    <col min="1825" max="1825" width="9.7109375" style="1" customWidth="1"/>
    <col min="1826" max="1826" width="11.28515625" style="1" customWidth="1"/>
    <col min="1827" max="1829" width="9.28515625" style="1" customWidth="1"/>
    <col min="1830" max="1830" width="11.28515625" style="1" customWidth="1"/>
    <col min="1831" max="1831" width="9" style="1" customWidth="1"/>
    <col min="1832" max="1833" width="9.7109375" style="1" customWidth="1"/>
    <col min="1834" max="1834" width="11.140625" style="1" customWidth="1"/>
    <col min="1835" max="1835" width="9.5703125" style="1" customWidth="1"/>
    <col min="1836" max="1836" width="9.28515625" style="1" customWidth="1"/>
    <col min="1837" max="1837" width="8.85546875" style="1" customWidth="1"/>
    <col min="1838" max="1838" width="11.140625" style="1" customWidth="1"/>
    <col min="1839" max="1839" width="8.85546875" style="1" customWidth="1"/>
    <col min="1840" max="1840" width="9.5703125" style="1" customWidth="1"/>
    <col min="1841" max="1841" width="9.28515625" style="1" customWidth="1"/>
    <col min="1842" max="1842" width="11.42578125" style="1" customWidth="1"/>
    <col min="1843" max="1843" width="9.5703125" style="1" customWidth="1"/>
    <col min="1844" max="1844" width="10.28515625" style="1" customWidth="1"/>
    <col min="1845" max="1845" width="11.42578125" style="1" customWidth="1"/>
    <col min="1846" max="1846" width="10.85546875" style="1" customWidth="1"/>
    <col min="1847" max="1847" width="43.42578125" style="1" customWidth="1"/>
    <col min="1848" max="2064" width="9.140625" style="1"/>
    <col min="2065" max="2065" width="34.5703125" style="1" customWidth="1"/>
    <col min="2066" max="2066" width="13.28515625" style="1" customWidth="1"/>
    <col min="2067" max="2067" width="14.28515625" style="1" customWidth="1"/>
    <col min="2068" max="2068" width="13.5703125" style="1" customWidth="1"/>
    <col min="2069" max="2069" width="9.28515625" style="1" customWidth="1"/>
    <col min="2070" max="2070" width="10.5703125" style="1" customWidth="1"/>
    <col min="2071" max="2071" width="8.42578125" style="1" customWidth="1"/>
    <col min="2072" max="2072" width="8.85546875" style="1" customWidth="1"/>
    <col min="2073" max="2073" width="8.7109375" style="1" customWidth="1"/>
    <col min="2074" max="2074" width="9.42578125" style="1" customWidth="1"/>
    <col min="2075" max="2075" width="8" style="1" customWidth="1"/>
    <col min="2076" max="2076" width="9" style="1" customWidth="1"/>
    <col min="2077" max="2077" width="8.85546875" style="1" customWidth="1"/>
    <col min="2078" max="2078" width="11.140625" style="1" customWidth="1"/>
    <col min="2079" max="2079" width="9.28515625" style="1" customWidth="1"/>
    <col min="2080" max="2080" width="9.5703125" style="1" customWidth="1"/>
    <col min="2081" max="2081" width="9.7109375" style="1" customWidth="1"/>
    <col min="2082" max="2082" width="11.28515625" style="1" customWidth="1"/>
    <col min="2083" max="2085" width="9.28515625" style="1" customWidth="1"/>
    <col min="2086" max="2086" width="11.28515625" style="1" customWidth="1"/>
    <col min="2087" max="2087" width="9" style="1" customWidth="1"/>
    <col min="2088" max="2089" width="9.7109375" style="1" customWidth="1"/>
    <col min="2090" max="2090" width="11.140625" style="1" customWidth="1"/>
    <col min="2091" max="2091" width="9.5703125" style="1" customWidth="1"/>
    <col min="2092" max="2092" width="9.28515625" style="1" customWidth="1"/>
    <col min="2093" max="2093" width="8.85546875" style="1" customWidth="1"/>
    <col min="2094" max="2094" width="11.140625" style="1" customWidth="1"/>
    <col min="2095" max="2095" width="8.85546875" style="1" customWidth="1"/>
    <col min="2096" max="2096" width="9.5703125" style="1" customWidth="1"/>
    <col min="2097" max="2097" width="9.28515625" style="1" customWidth="1"/>
    <col min="2098" max="2098" width="11.42578125" style="1" customWidth="1"/>
    <col min="2099" max="2099" width="9.5703125" style="1" customWidth="1"/>
    <col min="2100" max="2100" width="10.28515625" style="1" customWidth="1"/>
    <col min="2101" max="2101" width="11.42578125" style="1" customWidth="1"/>
    <col min="2102" max="2102" width="10.85546875" style="1" customWidth="1"/>
    <col min="2103" max="2103" width="43.42578125" style="1" customWidth="1"/>
    <col min="2104" max="2320" width="9.140625" style="1"/>
    <col min="2321" max="2321" width="34.5703125" style="1" customWidth="1"/>
    <col min="2322" max="2322" width="13.28515625" style="1" customWidth="1"/>
    <col min="2323" max="2323" width="14.28515625" style="1" customWidth="1"/>
    <col min="2324" max="2324" width="13.5703125" style="1" customWidth="1"/>
    <col min="2325" max="2325" width="9.28515625" style="1" customWidth="1"/>
    <col min="2326" max="2326" width="10.5703125" style="1" customWidth="1"/>
    <col min="2327" max="2327" width="8.42578125" style="1" customWidth="1"/>
    <col min="2328" max="2328" width="8.85546875" style="1" customWidth="1"/>
    <col min="2329" max="2329" width="8.7109375" style="1" customWidth="1"/>
    <col min="2330" max="2330" width="9.42578125" style="1" customWidth="1"/>
    <col min="2331" max="2331" width="8" style="1" customWidth="1"/>
    <col min="2332" max="2332" width="9" style="1" customWidth="1"/>
    <col min="2333" max="2333" width="8.85546875" style="1" customWidth="1"/>
    <col min="2334" max="2334" width="11.140625" style="1" customWidth="1"/>
    <col min="2335" max="2335" width="9.28515625" style="1" customWidth="1"/>
    <col min="2336" max="2336" width="9.5703125" style="1" customWidth="1"/>
    <col min="2337" max="2337" width="9.7109375" style="1" customWidth="1"/>
    <col min="2338" max="2338" width="11.28515625" style="1" customWidth="1"/>
    <col min="2339" max="2341" width="9.28515625" style="1" customWidth="1"/>
    <col min="2342" max="2342" width="11.28515625" style="1" customWidth="1"/>
    <col min="2343" max="2343" width="9" style="1" customWidth="1"/>
    <col min="2344" max="2345" width="9.7109375" style="1" customWidth="1"/>
    <col min="2346" max="2346" width="11.140625" style="1" customWidth="1"/>
    <col min="2347" max="2347" width="9.5703125" style="1" customWidth="1"/>
    <col min="2348" max="2348" width="9.28515625" style="1" customWidth="1"/>
    <col min="2349" max="2349" width="8.85546875" style="1" customWidth="1"/>
    <col min="2350" max="2350" width="11.140625" style="1" customWidth="1"/>
    <col min="2351" max="2351" width="8.85546875" style="1" customWidth="1"/>
    <col min="2352" max="2352" width="9.5703125" style="1" customWidth="1"/>
    <col min="2353" max="2353" width="9.28515625" style="1" customWidth="1"/>
    <col min="2354" max="2354" width="11.42578125" style="1" customWidth="1"/>
    <col min="2355" max="2355" width="9.5703125" style="1" customWidth="1"/>
    <col min="2356" max="2356" width="10.28515625" style="1" customWidth="1"/>
    <col min="2357" max="2357" width="11.42578125" style="1" customWidth="1"/>
    <col min="2358" max="2358" width="10.85546875" style="1" customWidth="1"/>
    <col min="2359" max="2359" width="43.42578125" style="1" customWidth="1"/>
    <col min="2360" max="2576" width="9.140625" style="1"/>
    <col min="2577" max="2577" width="34.5703125" style="1" customWidth="1"/>
    <col min="2578" max="2578" width="13.28515625" style="1" customWidth="1"/>
    <col min="2579" max="2579" width="14.28515625" style="1" customWidth="1"/>
    <col min="2580" max="2580" width="13.5703125" style="1" customWidth="1"/>
    <col min="2581" max="2581" width="9.28515625" style="1" customWidth="1"/>
    <col min="2582" max="2582" width="10.5703125" style="1" customWidth="1"/>
    <col min="2583" max="2583" width="8.42578125" style="1" customWidth="1"/>
    <col min="2584" max="2584" width="8.85546875" style="1" customWidth="1"/>
    <col min="2585" max="2585" width="8.7109375" style="1" customWidth="1"/>
    <col min="2586" max="2586" width="9.42578125" style="1" customWidth="1"/>
    <col min="2587" max="2587" width="8" style="1" customWidth="1"/>
    <col min="2588" max="2588" width="9" style="1" customWidth="1"/>
    <col min="2589" max="2589" width="8.85546875" style="1" customWidth="1"/>
    <col min="2590" max="2590" width="11.140625" style="1" customWidth="1"/>
    <col min="2591" max="2591" width="9.28515625" style="1" customWidth="1"/>
    <col min="2592" max="2592" width="9.5703125" style="1" customWidth="1"/>
    <col min="2593" max="2593" width="9.7109375" style="1" customWidth="1"/>
    <col min="2594" max="2594" width="11.28515625" style="1" customWidth="1"/>
    <col min="2595" max="2597" width="9.28515625" style="1" customWidth="1"/>
    <col min="2598" max="2598" width="11.28515625" style="1" customWidth="1"/>
    <col min="2599" max="2599" width="9" style="1" customWidth="1"/>
    <col min="2600" max="2601" width="9.7109375" style="1" customWidth="1"/>
    <col min="2602" max="2602" width="11.140625" style="1" customWidth="1"/>
    <col min="2603" max="2603" width="9.5703125" style="1" customWidth="1"/>
    <col min="2604" max="2604" width="9.28515625" style="1" customWidth="1"/>
    <col min="2605" max="2605" width="8.85546875" style="1" customWidth="1"/>
    <col min="2606" max="2606" width="11.140625" style="1" customWidth="1"/>
    <col min="2607" max="2607" width="8.85546875" style="1" customWidth="1"/>
    <col min="2608" max="2608" width="9.5703125" style="1" customWidth="1"/>
    <col min="2609" max="2609" width="9.28515625" style="1" customWidth="1"/>
    <col min="2610" max="2610" width="11.42578125" style="1" customWidth="1"/>
    <col min="2611" max="2611" width="9.5703125" style="1" customWidth="1"/>
    <col min="2612" max="2612" width="10.28515625" style="1" customWidth="1"/>
    <col min="2613" max="2613" width="11.42578125" style="1" customWidth="1"/>
    <col min="2614" max="2614" width="10.85546875" style="1" customWidth="1"/>
    <col min="2615" max="2615" width="43.42578125" style="1" customWidth="1"/>
    <col min="2616" max="2832" width="9.140625" style="1"/>
    <col min="2833" max="2833" width="34.5703125" style="1" customWidth="1"/>
    <col min="2834" max="2834" width="13.28515625" style="1" customWidth="1"/>
    <col min="2835" max="2835" width="14.28515625" style="1" customWidth="1"/>
    <col min="2836" max="2836" width="13.5703125" style="1" customWidth="1"/>
    <col min="2837" max="2837" width="9.28515625" style="1" customWidth="1"/>
    <col min="2838" max="2838" width="10.5703125" style="1" customWidth="1"/>
    <col min="2839" max="2839" width="8.42578125" style="1" customWidth="1"/>
    <col min="2840" max="2840" width="8.85546875" style="1" customWidth="1"/>
    <col min="2841" max="2841" width="8.7109375" style="1" customWidth="1"/>
    <col min="2842" max="2842" width="9.42578125" style="1" customWidth="1"/>
    <col min="2843" max="2843" width="8" style="1" customWidth="1"/>
    <col min="2844" max="2844" width="9" style="1" customWidth="1"/>
    <col min="2845" max="2845" width="8.85546875" style="1" customWidth="1"/>
    <col min="2846" max="2846" width="11.140625" style="1" customWidth="1"/>
    <col min="2847" max="2847" width="9.28515625" style="1" customWidth="1"/>
    <col min="2848" max="2848" width="9.5703125" style="1" customWidth="1"/>
    <col min="2849" max="2849" width="9.7109375" style="1" customWidth="1"/>
    <col min="2850" max="2850" width="11.28515625" style="1" customWidth="1"/>
    <col min="2851" max="2853" width="9.28515625" style="1" customWidth="1"/>
    <col min="2854" max="2854" width="11.28515625" style="1" customWidth="1"/>
    <col min="2855" max="2855" width="9" style="1" customWidth="1"/>
    <col min="2856" max="2857" width="9.7109375" style="1" customWidth="1"/>
    <col min="2858" max="2858" width="11.140625" style="1" customWidth="1"/>
    <col min="2859" max="2859" width="9.5703125" style="1" customWidth="1"/>
    <col min="2860" max="2860" width="9.28515625" style="1" customWidth="1"/>
    <col min="2861" max="2861" width="8.85546875" style="1" customWidth="1"/>
    <col min="2862" max="2862" width="11.140625" style="1" customWidth="1"/>
    <col min="2863" max="2863" width="8.85546875" style="1" customWidth="1"/>
    <col min="2864" max="2864" width="9.5703125" style="1" customWidth="1"/>
    <col min="2865" max="2865" width="9.28515625" style="1" customWidth="1"/>
    <col min="2866" max="2866" width="11.42578125" style="1" customWidth="1"/>
    <col min="2867" max="2867" width="9.5703125" style="1" customWidth="1"/>
    <col min="2868" max="2868" width="10.28515625" style="1" customWidth="1"/>
    <col min="2869" max="2869" width="11.42578125" style="1" customWidth="1"/>
    <col min="2870" max="2870" width="10.85546875" style="1" customWidth="1"/>
    <col min="2871" max="2871" width="43.42578125" style="1" customWidth="1"/>
    <col min="2872" max="3088" width="9.140625" style="1"/>
    <col min="3089" max="3089" width="34.5703125" style="1" customWidth="1"/>
    <col min="3090" max="3090" width="13.28515625" style="1" customWidth="1"/>
    <col min="3091" max="3091" width="14.28515625" style="1" customWidth="1"/>
    <col min="3092" max="3092" width="13.5703125" style="1" customWidth="1"/>
    <col min="3093" max="3093" width="9.28515625" style="1" customWidth="1"/>
    <col min="3094" max="3094" width="10.5703125" style="1" customWidth="1"/>
    <col min="3095" max="3095" width="8.42578125" style="1" customWidth="1"/>
    <col min="3096" max="3096" width="8.85546875" style="1" customWidth="1"/>
    <col min="3097" max="3097" width="8.7109375" style="1" customWidth="1"/>
    <col min="3098" max="3098" width="9.42578125" style="1" customWidth="1"/>
    <col min="3099" max="3099" width="8" style="1" customWidth="1"/>
    <col min="3100" max="3100" width="9" style="1" customWidth="1"/>
    <col min="3101" max="3101" width="8.85546875" style="1" customWidth="1"/>
    <col min="3102" max="3102" width="11.140625" style="1" customWidth="1"/>
    <col min="3103" max="3103" width="9.28515625" style="1" customWidth="1"/>
    <col min="3104" max="3104" width="9.5703125" style="1" customWidth="1"/>
    <col min="3105" max="3105" width="9.7109375" style="1" customWidth="1"/>
    <col min="3106" max="3106" width="11.28515625" style="1" customWidth="1"/>
    <col min="3107" max="3109" width="9.28515625" style="1" customWidth="1"/>
    <col min="3110" max="3110" width="11.28515625" style="1" customWidth="1"/>
    <col min="3111" max="3111" width="9" style="1" customWidth="1"/>
    <col min="3112" max="3113" width="9.7109375" style="1" customWidth="1"/>
    <col min="3114" max="3114" width="11.140625" style="1" customWidth="1"/>
    <col min="3115" max="3115" width="9.5703125" style="1" customWidth="1"/>
    <col min="3116" max="3116" width="9.28515625" style="1" customWidth="1"/>
    <col min="3117" max="3117" width="8.85546875" style="1" customWidth="1"/>
    <col min="3118" max="3118" width="11.140625" style="1" customWidth="1"/>
    <col min="3119" max="3119" width="8.85546875" style="1" customWidth="1"/>
    <col min="3120" max="3120" width="9.5703125" style="1" customWidth="1"/>
    <col min="3121" max="3121" width="9.28515625" style="1" customWidth="1"/>
    <col min="3122" max="3122" width="11.42578125" style="1" customWidth="1"/>
    <col min="3123" max="3123" width="9.5703125" style="1" customWidth="1"/>
    <col min="3124" max="3124" width="10.28515625" style="1" customWidth="1"/>
    <col min="3125" max="3125" width="11.42578125" style="1" customWidth="1"/>
    <col min="3126" max="3126" width="10.85546875" style="1" customWidth="1"/>
    <col min="3127" max="3127" width="43.42578125" style="1" customWidth="1"/>
    <col min="3128" max="3344" width="9.140625" style="1"/>
    <col min="3345" max="3345" width="34.5703125" style="1" customWidth="1"/>
    <col min="3346" max="3346" width="13.28515625" style="1" customWidth="1"/>
    <col min="3347" max="3347" width="14.28515625" style="1" customWidth="1"/>
    <col min="3348" max="3348" width="13.5703125" style="1" customWidth="1"/>
    <col min="3349" max="3349" width="9.28515625" style="1" customWidth="1"/>
    <col min="3350" max="3350" width="10.5703125" style="1" customWidth="1"/>
    <col min="3351" max="3351" width="8.42578125" style="1" customWidth="1"/>
    <col min="3352" max="3352" width="8.85546875" style="1" customWidth="1"/>
    <col min="3353" max="3353" width="8.7109375" style="1" customWidth="1"/>
    <col min="3354" max="3354" width="9.42578125" style="1" customWidth="1"/>
    <col min="3355" max="3355" width="8" style="1" customWidth="1"/>
    <col min="3356" max="3356" width="9" style="1" customWidth="1"/>
    <col min="3357" max="3357" width="8.85546875" style="1" customWidth="1"/>
    <col min="3358" max="3358" width="11.140625" style="1" customWidth="1"/>
    <col min="3359" max="3359" width="9.28515625" style="1" customWidth="1"/>
    <col min="3360" max="3360" width="9.5703125" style="1" customWidth="1"/>
    <col min="3361" max="3361" width="9.7109375" style="1" customWidth="1"/>
    <col min="3362" max="3362" width="11.28515625" style="1" customWidth="1"/>
    <col min="3363" max="3365" width="9.28515625" style="1" customWidth="1"/>
    <col min="3366" max="3366" width="11.28515625" style="1" customWidth="1"/>
    <col min="3367" max="3367" width="9" style="1" customWidth="1"/>
    <col min="3368" max="3369" width="9.7109375" style="1" customWidth="1"/>
    <col min="3370" max="3370" width="11.140625" style="1" customWidth="1"/>
    <col min="3371" max="3371" width="9.5703125" style="1" customWidth="1"/>
    <col min="3372" max="3372" width="9.28515625" style="1" customWidth="1"/>
    <col min="3373" max="3373" width="8.85546875" style="1" customWidth="1"/>
    <col min="3374" max="3374" width="11.140625" style="1" customWidth="1"/>
    <col min="3375" max="3375" width="8.85546875" style="1" customWidth="1"/>
    <col min="3376" max="3376" width="9.5703125" style="1" customWidth="1"/>
    <col min="3377" max="3377" width="9.28515625" style="1" customWidth="1"/>
    <col min="3378" max="3378" width="11.42578125" style="1" customWidth="1"/>
    <col min="3379" max="3379" width="9.5703125" style="1" customWidth="1"/>
    <col min="3380" max="3380" width="10.28515625" style="1" customWidth="1"/>
    <col min="3381" max="3381" width="11.42578125" style="1" customWidth="1"/>
    <col min="3382" max="3382" width="10.85546875" style="1" customWidth="1"/>
    <col min="3383" max="3383" width="43.42578125" style="1" customWidth="1"/>
    <col min="3384" max="3600" width="9.140625" style="1"/>
    <col min="3601" max="3601" width="34.5703125" style="1" customWidth="1"/>
    <col min="3602" max="3602" width="13.28515625" style="1" customWidth="1"/>
    <col min="3603" max="3603" width="14.28515625" style="1" customWidth="1"/>
    <col min="3604" max="3604" width="13.5703125" style="1" customWidth="1"/>
    <col min="3605" max="3605" width="9.28515625" style="1" customWidth="1"/>
    <col min="3606" max="3606" width="10.5703125" style="1" customWidth="1"/>
    <col min="3607" max="3607" width="8.42578125" style="1" customWidth="1"/>
    <col min="3608" max="3608" width="8.85546875" style="1" customWidth="1"/>
    <col min="3609" max="3609" width="8.7109375" style="1" customWidth="1"/>
    <col min="3610" max="3610" width="9.42578125" style="1" customWidth="1"/>
    <col min="3611" max="3611" width="8" style="1" customWidth="1"/>
    <col min="3612" max="3612" width="9" style="1" customWidth="1"/>
    <col min="3613" max="3613" width="8.85546875" style="1" customWidth="1"/>
    <col min="3614" max="3614" width="11.140625" style="1" customWidth="1"/>
    <col min="3615" max="3615" width="9.28515625" style="1" customWidth="1"/>
    <col min="3616" max="3616" width="9.5703125" style="1" customWidth="1"/>
    <col min="3617" max="3617" width="9.7109375" style="1" customWidth="1"/>
    <col min="3618" max="3618" width="11.28515625" style="1" customWidth="1"/>
    <col min="3619" max="3621" width="9.28515625" style="1" customWidth="1"/>
    <col min="3622" max="3622" width="11.28515625" style="1" customWidth="1"/>
    <col min="3623" max="3623" width="9" style="1" customWidth="1"/>
    <col min="3624" max="3625" width="9.7109375" style="1" customWidth="1"/>
    <col min="3626" max="3626" width="11.140625" style="1" customWidth="1"/>
    <col min="3627" max="3627" width="9.5703125" style="1" customWidth="1"/>
    <col min="3628" max="3628" width="9.28515625" style="1" customWidth="1"/>
    <col min="3629" max="3629" width="8.85546875" style="1" customWidth="1"/>
    <col min="3630" max="3630" width="11.140625" style="1" customWidth="1"/>
    <col min="3631" max="3631" width="8.85546875" style="1" customWidth="1"/>
    <col min="3632" max="3632" width="9.5703125" style="1" customWidth="1"/>
    <col min="3633" max="3633" width="9.28515625" style="1" customWidth="1"/>
    <col min="3634" max="3634" width="11.42578125" style="1" customWidth="1"/>
    <col min="3635" max="3635" width="9.5703125" style="1" customWidth="1"/>
    <col min="3636" max="3636" width="10.28515625" style="1" customWidth="1"/>
    <col min="3637" max="3637" width="11.42578125" style="1" customWidth="1"/>
    <col min="3638" max="3638" width="10.85546875" style="1" customWidth="1"/>
    <col min="3639" max="3639" width="43.42578125" style="1" customWidth="1"/>
    <col min="3640" max="3856" width="9.140625" style="1"/>
    <col min="3857" max="3857" width="34.5703125" style="1" customWidth="1"/>
    <col min="3858" max="3858" width="13.28515625" style="1" customWidth="1"/>
    <col min="3859" max="3859" width="14.28515625" style="1" customWidth="1"/>
    <col min="3860" max="3860" width="13.5703125" style="1" customWidth="1"/>
    <col min="3861" max="3861" width="9.28515625" style="1" customWidth="1"/>
    <col min="3862" max="3862" width="10.5703125" style="1" customWidth="1"/>
    <col min="3863" max="3863" width="8.42578125" style="1" customWidth="1"/>
    <col min="3864" max="3864" width="8.85546875" style="1" customWidth="1"/>
    <col min="3865" max="3865" width="8.7109375" style="1" customWidth="1"/>
    <col min="3866" max="3866" width="9.42578125" style="1" customWidth="1"/>
    <col min="3867" max="3867" width="8" style="1" customWidth="1"/>
    <col min="3868" max="3868" width="9" style="1" customWidth="1"/>
    <col min="3869" max="3869" width="8.85546875" style="1" customWidth="1"/>
    <col min="3870" max="3870" width="11.140625" style="1" customWidth="1"/>
    <col min="3871" max="3871" width="9.28515625" style="1" customWidth="1"/>
    <col min="3872" max="3872" width="9.5703125" style="1" customWidth="1"/>
    <col min="3873" max="3873" width="9.7109375" style="1" customWidth="1"/>
    <col min="3874" max="3874" width="11.28515625" style="1" customWidth="1"/>
    <col min="3875" max="3877" width="9.28515625" style="1" customWidth="1"/>
    <col min="3878" max="3878" width="11.28515625" style="1" customWidth="1"/>
    <col min="3879" max="3879" width="9" style="1" customWidth="1"/>
    <col min="3880" max="3881" width="9.7109375" style="1" customWidth="1"/>
    <col min="3882" max="3882" width="11.140625" style="1" customWidth="1"/>
    <col min="3883" max="3883" width="9.5703125" style="1" customWidth="1"/>
    <col min="3884" max="3884" width="9.28515625" style="1" customWidth="1"/>
    <col min="3885" max="3885" width="8.85546875" style="1" customWidth="1"/>
    <col min="3886" max="3886" width="11.140625" style="1" customWidth="1"/>
    <col min="3887" max="3887" width="8.85546875" style="1" customWidth="1"/>
    <col min="3888" max="3888" width="9.5703125" style="1" customWidth="1"/>
    <col min="3889" max="3889" width="9.28515625" style="1" customWidth="1"/>
    <col min="3890" max="3890" width="11.42578125" style="1" customWidth="1"/>
    <col min="3891" max="3891" width="9.5703125" style="1" customWidth="1"/>
    <col min="3892" max="3892" width="10.28515625" style="1" customWidth="1"/>
    <col min="3893" max="3893" width="11.42578125" style="1" customWidth="1"/>
    <col min="3894" max="3894" width="10.85546875" style="1" customWidth="1"/>
    <col min="3895" max="3895" width="43.42578125" style="1" customWidth="1"/>
    <col min="3896" max="4112" width="9.140625" style="1"/>
    <col min="4113" max="4113" width="34.5703125" style="1" customWidth="1"/>
    <col min="4114" max="4114" width="13.28515625" style="1" customWidth="1"/>
    <col min="4115" max="4115" width="14.28515625" style="1" customWidth="1"/>
    <col min="4116" max="4116" width="13.5703125" style="1" customWidth="1"/>
    <col min="4117" max="4117" width="9.28515625" style="1" customWidth="1"/>
    <col min="4118" max="4118" width="10.5703125" style="1" customWidth="1"/>
    <col min="4119" max="4119" width="8.42578125" style="1" customWidth="1"/>
    <col min="4120" max="4120" width="8.85546875" style="1" customWidth="1"/>
    <col min="4121" max="4121" width="8.7109375" style="1" customWidth="1"/>
    <col min="4122" max="4122" width="9.42578125" style="1" customWidth="1"/>
    <col min="4123" max="4123" width="8" style="1" customWidth="1"/>
    <col min="4124" max="4124" width="9" style="1" customWidth="1"/>
    <col min="4125" max="4125" width="8.85546875" style="1" customWidth="1"/>
    <col min="4126" max="4126" width="11.140625" style="1" customWidth="1"/>
    <col min="4127" max="4127" width="9.28515625" style="1" customWidth="1"/>
    <col min="4128" max="4128" width="9.5703125" style="1" customWidth="1"/>
    <col min="4129" max="4129" width="9.7109375" style="1" customWidth="1"/>
    <col min="4130" max="4130" width="11.28515625" style="1" customWidth="1"/>
    <col min="4131" max="4133" width="9.28515625" style="1" customWidth="1"/>
    <col min="4134" max="4134" width="11.28515625" style="1" customWidth="1"/>
    <col min="4135" max="4135" width="9" style="1" customWidth="1"/>
    <col min="4136" max="4137" width="9.7109375" style="1" customWidth="1"/>
    <col min="4138" max="4138" width="11.140625" style="1" customWidth="1"/>
    <col min="4139" max="4139" width="9.5703125" style="1" customWidth="1"/>
    <col min="4140" max="4140" width="9.28515625" style="1" customWidth="1"/>
    <col min="4141" max="4141" width="8.85546875" style="1" customWidth="1"/>
    <col min="4142" max="4142" width="11.140625" style="1" customWidth="1"/>
    <col min="4143" max="4143" width="8.85546875" style="1" customWidth="1"/>
    <col min="4144" max="4144" width="9.5703125" style="1" customWidth="1"/>
    <col min="4145" max="4145" width="9.28515625" style="1" customWidth="1"/>
    <col min="4146" max="4146" width="11.42578125" style="1" customWidth="1"/>
    <col min="4147" max="4147" width="9.5703125" style="1" customWidth="1"/>
    <col min="4148" max="4148" width="10.28515625" style="1" customWidth="1"/>
    <col min="4149" max="4149" width="11.42578125" style="1" customWidth="1"/>
    <col min="4150" max="4150" width="10.85546875" style="1" customWidth="1"/>
    <col min="4151" max="4151" width="43.42578125" style="1" customWidth="1"/>
    <col min="4152" max="4368" width="9.140625" style="1"/>
    <col min="4369" max="4369" width="34.5703125" style="1" customWidth="1"/>
    <col min="4370" max="4370" width="13.28515625" style="1" customWidth="1"/>
    <col min="4371" max="4371" width="14.28515625" style="1" customWidth="1"/>
    <col min="4372" max="4372" width="13.5703125" style="1" customWidth="1"/>
    <col min="4373" max="4373" width="9.28515625" style="1" customWidth="1"/>
    <col min="4374" max="4374" width="10.5703125" style="1" customWidth="1"/>
    <col min="4375" max="4375" width="8.42578125" style="1" customWidth="1"/>
    <col min="4376" max="4376" width="8.85546875" style="1" customWidth="1"/>
    <col min="4377" max="4377" width="8.7109375" style="1" customWidth="1"/>
    <col min="4378" max="4378" width="9.42578125" style="1" customWidth="1"/>
    <col min="4379" max="4379" width="8" style="1" customWidth="1"/>
    <col min="4380" max="4380" width="9" style="1" customWidth="1"/>
    <col min="4381" max="4381" width="8.85546875" style="1" customWidth="1"/>
    <col min="4382" max="4382" width="11.140625" style="1" customWidth="1"/>
    <col min="4383" max="4383" width="9.28515625" style="1" customWidth="1"/>
    <col min="4384" max="4384" width="9.5703125" style="1" customWidth="1"/>
    <col min="4385" max="4385" width="9.7109375" style="1" customWidth="1"/>
    <col min="4386" max="4386" width="11.28515625" style="1" customWidth="1"/>
    <col min="4387" max="4389" width="9.28515625" style="1" customWidth="1"/>
    <col min="4390" max="4390" width="11.28515625" style="1" customWidth="1"/>
    <col min="4391" max="4391" width="9" style="1" customWidth="1"/>
    <col min="4392" max="4393" width="9.7109375" style="1" customWidth="1"/>
    <col min="4394" max="4394" width="11.140625" style="1" customWidth="1"/>
    <col min="4395" max="4395" width="9.5703125" style="1" customWidth="1"/>
    <col min="4396" max="4396" width="9.28515625" style="1" customWidth="1"/>
    <col min="4397" max="4397" width="8.85546875" style="1" customWidth="1"/>
    <col min="4398" max="4398" width="11.140625" style="1" customWidth="1"/>
    <col min="4399" max="4399" width="8.85546875" style="1" customWidth="1"/>
    <col min="4400" max="4400" width="9.5703125" style="1" customWidth="1"/>
    <col min="4401" max="4401" width="9.28515625" style="1" customWidth="1"/>
    <col min="4402" max="4402" width="11.42578125" style="1" customWidth="1"/>
    <col min="4403" max="4403" width="9.5703125" style="1" customWidth="1"/>
    <col min="4404" max="4404" width="10.28515625" style="1" customWidth="1"/>
    <col min="4405" max="4405" width="11.42578125" style="1" customWidth="1"/>
    <col min="4406" max="4406" width="10.85546875" style="1" customWidth="1"/>
    <col min="4407" max="4407" width="43.42578125" style="1" customWidth="1"/>
    <col min="4408" max="4624" width="9.140625" style="1"/>
    <col min="4625" max="4625" width="34.5703125" style="1" customWidth="1"/>
    <col min="4626" max="4626" width="13.28515625" style="1" customWidth="1"/>
    <col min="4627" max="4627" width="14.28515625" style="1" customWidth="1"/>
    <col min="4628" max="4628" width="13.5703125" style="1" customWidth="1"/>
    <col min="4629" max="4629" width="9.28515625" style="1" customWidth="1"/>
    <col min="4630" max="4630" width="10.5703125" style="1" customWidth="1"/>
    <col min="4631" max="4631" width="8.42578125" style="1" customWidth="1"/>
    <col min="4632" max="4632" width="8.85546875" style="1" customWidth="1"/>
    <col min="4633" max="4633" width="8.7109375" style="1" customWidth="1"/>
    <col min="4634" max="4634" width="9.42578125" style="1" customWidth="1"/>
    <col min="4635" max="4635" width="8" style="1" customWidth="1"/>
    <col min="4636" max="4636" width="9" style="1" customWidth="1"/>
    <col min="4637" max="4637" width="8.85546875" style="1" customWidth="1"/>
    <col min="4638" max="4638" width="11.140625" style="1" customWidth="1"/>
    <col min="4639" max="4639" width="9.28515625" style="1" customWidth="1"/>
    <col min="4640" max="4640" width="9.5703125" style="1" customWidth="1"/>
    <col min="4641" max="4641" width="9.7109375" style="1" customWidth="1"/>
    <col min="4642" max="4642" width="11.28515625" style="1" customWidth="1"/>
    <col min="4643" max="4645" width="9.28515625" style="1" customWidth="1"/>
    <col min="4646" max="4646" width="11.28515625" style="1" customWidth="1"/>
    <col min="4647" max="4647" width="9" style="1" customWidth="1"/>
    <col min="4648" max="4649" width="9.7109375" style="1" customWidth="1"/>
    <col min="4650" max="4650" width="11.140625" style="1" customWidth="1"/>
    <col min="4651" max="4651" width="9.5703125" style="1" customWidth="1"/>
    <col min="4652" max="4652" width="9.28515625" style="1" customWidth="1"/>
    <col min="4653" max="4653" width="8.85546875" style="1" customWidth="1"/>
    <col min="4654" max="4654" width="11.140625" style="1" customWidth="1"/>
    <col min="4655" max="4655" width="8.85546875" style="1" customWidth="1"/>
    <col min="4656" max="4656" width="9.5703125" style="1" customWidth="1"/>
    <col min="4657" max="4657" width="9.28515625" style="1" customWidth="1"/>
    <col min="4658" max="4658" width="11.42578125" style="1" customWidth="1"/>
    <col min="4659" max="4659" width="9.5703125" style="1" customWidth="1"/>
    <col min="4660" max="4660" width="10.28515625" style="1" customWidth="1"/>
    <col min="4661" max="4661" width="11.42578125" style="1" customWidth="1"/>
    <col min="4662" max="4662" width="10.85546875" style="1" customWidth="1"/>
    <col min="4663" max="4663" width="43.42578125" style="1" customWidth="1"/>
    <col min="4664" max="4880" width="9.140625" style="1"/>
    <col min="4881" max="4881" width="34.5703125" style="1" customWidth="1"/>
    <col min="4882" max="4882" width="13.28515625" style="1" customWidth="1"/>
    <col min="4883" max="4883" width="14.28515625" style="1" customWidth="1"/>
    <col min="4884" max="4884" width="13.5703125" style="1" customWidth="1"/>
    <col min="4885" max="4885" width="9.28515625" style="1" customWidth="1"/>
    <col min="4886" max="4886" width="10.5703125" style="1" customWidth="1"/>
    <col min="4887" max="4887" width="8.42578125" style="1" customWidth="1"/>
    <col min="4888" max="4888" width="8.85546875" style="1" customWidth="1"/>
    <col min="4889" max="4889" width="8.7109375" style="1" customWidth="1"/>
    <col min="4890" max="4890" width="9.42578125" style="1" customWidth="1"/>
    <col min="4891" max="4891" width="8" style="1" customWidth="1"/>
    <col min="4892" max="4892" width="9" style="1" customWidth="1"/>
    <col min="4893" max="4893" width="8.85546875" style="1" customWidth="1"/>
    <col min="4894" max="4894" width="11.140625" style="1" customWidth="1"/>
    <col min="4895" max="4895" width="9.28515625" style="1" customWidth="1"/>
    <col min="4896" max="4896" width="9.5703125" style="1" customWidth="1"/>
    <col min="4897" max="4897" width="9.7109375" style="1" customWidth="1"/>
    <col min="4898" max="4898" width="11.28515625" style="1" customWidth="1"/>
    <col min="4899" max="4901" width="9.28515625" style="1" customWidth="1"/>
    <col min="4902" max="4902" width="11.28515625" style="1" customWidth="1"/>
    <col min="4903" max="4903" width="9" style="1" customWidth="1"/>
    <col min="4904" max="4905" width="9.7109375" style="1" customWidth="1"/>
    <col min="4906" max="4906" width="11.140625" style="1" customWidth="1"/>
    <col min="4907" max="4907" width="9.5703125" style="1" customWidth="1"/>
    <col min="4908" max="4908" width="9.28515625" style="1" customWidth="1"/>
    <col min="4909" max="4909" width="8.85546875" style="1" customWidth="1"/>
    <col min="4910" max="4910" width="11.140625" style="1" customWidth="1"/>
    <col min="4911" max="4911" width="8.85546875" style="1" customWidth="1"/>
    <col min="4912" max="4912" width="9.5703125" style="1" customWidth="1"/>
    <col min="4913" max="4913" width="9.28515625" style="1" customWidth="1"/>
    <col min="4914" max="4914" width="11.42578125" style="1" customWidth="1"/>
    <col min="4915" max="4915" width="9.5703125" style="1" customWidth="1"/>
    <col min="4916" max="4916" width="10.28515625" style="1" customWidth="1"/>
    <col min="4917" max="4917" width="11.42578125" style="1" customWidth="1"/>
    <col min="4918" max="4918" width="10.85546875" style="1" customWidth="1"/>
    <col min="4919" max="4919" width="43.42578125" style="1" customWidth="1"/>
    <col min="4920" max="5136" width="9.140625" style="1"/>
    <col min="5137" max="5137" width="34.5703125" style="1" customWidth="1"/>
    <col min="5138" max="5138" width="13.28515625" style="1" customWidth="1"/>
    <col min="5139" max="5139" width="14.28515625" style="1" customWidth="1"/>
    <col min="5140" max="5140" width="13.5703125" style="1" customWidth="1"/>
    <col min="5141" max="5141" width="9.28515625" style="1" customWidth="1"/>
    <col min="5142" max="5142" width="10.5703125" style="1" customWidth="1"/>
    <col min="5143" max="5143" width="8.42578125" style="1" customWidth="1"/>
    <col min="5144" max="5144" width="8.85546875" style="1" customWidth="1"/>
    <col min="5145" max="5145" width="8.7109375" style="1" customWidth="1"/>
    <col min="5146" max="5146" width="9.42578125" style="1" customWidth="1"/>
    <col min="5147" max="5147" width="8" style="1" customWidth="1"/>
    <col min="5148" max="5148" width="9" style="1" customWidth="1"/>
    <col min="5149" max="5149" width="8.85546875" style="1" customWidth="1"/>
    <col min="5150" max="5150" width="11.140625" style="1" customWidth="1"/>
    <col min="5151" max="5151" width="9.28515625" style="1" customWidth="1"/>
    <col min="5152" max="5152" width="9.5703125" style="1" customWidth="1"/>
    <col min="5153" max="5153" width="9.7109375" style="1" customWidth="1"/>
    <col min="5154" max="5154" width="11.28515625" style="1" customWidth="1"/>
    <col min="5155" max="5157" width="9.28515625" style="1" customWidth="1"/>
    <col min="5158" max="5158" width="11.28515625" style="1" customWidth="1"/>
    <col min="5159" max="5159" width="9" style="1" customWidth="1"/>
    <col min="5160" max="5161" width="9.7109375" style="1" customWidth="1"/>
    <col min="5162" max="5162" width="11.140625" style="1" customWidth="1"/>
    <col min="5163" max="5163" width="9.5703125" style="1" customWidth="1"/>
    <col min="5164" max="5164" width="9.28515625" style="1" customWidth="1"/>
    <col min="5165" max="5165" width="8.85546875" style="1" customWidth="1"/>
    <col min="5166" max="5166" width="11.140625" style="1" customWidth="1"/>
    <col min="5167" max="5167" width="8.85546875" style="1" customWidth="1"/>
    <col min="5168" max="5168" width="9.5703125" style="1" customWidth="1"/>
    <col min="5169" max="5169" width="9.28515625" style="1" customWidth="1"/>
    <col min="5170" max="5170" width="11.42578125" style="1" customWidth="1"/>
    <col min="5171" max="5171" width="9.5703125" style="1" customWidth="1"/>
    <col min="5172" max="5172" width="10.28515625" style="1" customWidth="1"/>
    <col min="5173" max="5173" width="11.42578125" style="1" customWidth="1"/>
    <col min="5174" max="5174" width="10.85546875" style="1" customWidth="1"/>
    <col min="5175" max="5175" width="43.42578125" style="1" customWidth="1"/>
    <col min="5176" max="5392" width="9.140625" style="1"/>
    <col min="5393" max="5393" width="34.5703125" style="1" customWidth="1"/>
    <col min="5394" max="5394" width="13.28515625" style="1" customWidth="1"/>
    <col min="5395" max="5395" width="14.28515625" style="1" customWidth="1"/>
    <col min="5396" max="5396" width="13.5703125" style="1" customWidth="1"/>
    <col min="5397" max="5397" width="9.28515625" style="1" customWidth="1"/>
    <col min="5398" max="5398" width="10.5703125" style="1" customWidth="1"/>
    <col min="5399" max="5399" width="8.42578125" style="1" customWidth="1"/>
    <col min="5400" max="5400" width="8.85546875" style="1" customWidth="1"/>
    <col min="5401" max="5401" width="8.7109375" style="1" customWidth="1"/>
    <col min="5402" max="5402" width="9.42578125" style="1" customWidth="1"/>
    <col min="5403" max="5403" width="8" style="1" customWidth="1"/>
    <col min="5404" max="5404" width="9" style="1" customWidth="1"/>
    <col min="5405" max="5405" width="8.85546875" style="1" customWidth="1"/>
    <col min="5406" max="5406" width="11.140625" style="1" customWidth="1"/>
    <col min="5407" max="5407" width="9.28515625" style="1" customWidth="1"/>
    <col min="5408" max="5408" width="9.5703125" style="1" customWidth="1"/>
    <col min="5409" max="5409" width="9.7109375" style="1" customWidth="1"/>
    <col min="5410" max="5410" width="11.28515625" style="1" customWidth="1"/>
    <col min="5411" max="5413" width="9.28515625" style="1" customWidth="1"/>
    <col min="5414" max="5414" width="11.28515625" style="1" customWidth="1"/>
    <col min="5415" max="5415" width="9" style="1" customWidth="1"/>
    <col min="5416" max="5417" width="9.7109375" style="1" customWidth="1"/>
    <col min="5418" max="5418" width="11.140625" style="1" customWidth="1"/>
    <col min="5419" max="5419" width="9.5703125" style="1" customWidth="1"/>
    <col min="5420" max="5420" width="9.28515625" style="1" customWidth="1"/>
    <col min="5421" max="5421" width="8.85546875" style="1" customWidth="1"/>
    <col min="5422" max="5422" width="11.140625" style="1" customWidth="1"/>
    <col min="5423" max="5423" width="8.85546875" style="1" customWidth="1"/>
    <col min="5424" max="5424" width="9.5703125" style="1" customWidth="1"/>
    <col min="5425" max="5425" width="9.28515625" style="1" customWidth="1"/>
    <col min="5426" max="5426" width="11.42578125" style="1" customWidth="1"/>
    <col min="5427" max="5427" width="9.5703125" style="1" customWidth="1"/>
    <col min="5428" max="5428" width="10.28515625" style="1" customWidth="1"/>
    <col min="5429" max="5429" width="11.42578125" style="1" customWidth="1"/>
    <col min="5430" max="5430" width="10.85546875" style="1" customWidth="1"/>
    <col min="5431" max="5431" width="43.42578125" style="1" customWidth="1"/>
    <col min="5432" max="5648" width="9.140625" style="1"/>
    <col min="5649" max="5649" width="34.5703125" style="1" customWidth="1"/>
    <col min="5650" max="5650" width="13.28515625" style="1" customWidth="1"/>
    <col min="5651" max="5651" width="14.28515625" style="1" customWidth="1"/>
    <col min="5652" max="5652" width="13.5703125" style="1" customWidth="1"/>
    <col min="5653" max="5653" width="9.28515625" style="1" customWidth="1"/>
    <col min="5654" max="5654" width="10.5703125" style="1" customWidth="1"/>
    <col min="5655" max="5655" width="8.42578125" style="1" customWidth="1"/>
    <col min="5656" max="5656" width="8.85546875" style="1" customWidth="1"/>
    <col min="5657" max="5657" width="8.7109375" style="1" customWidth="1"/>
    <col min="5658" max="5658" width="9.42578125" style="1" customWidth="1"/>
    <col min="5659" max="5659" width="8" style="1" customWidth="1"/>
    <col min="5660" max="5660" width="9" style="1" customWidth="1"/>
    <col min="5661" max="5661" width="8.85546875" style="1" customWidth="1"/>
    <col min="5662" max="5662" width="11.140625" style="1" customWidth="1"/>
    <col min="5663" max="5663" width="9.28515625" style="1" customWidth="1"/>
    <col min="5664" max="5664" width="9.5703125" style="1" customWidth="1"/>
    <col min="5665" max="5665" width="9.7109375" style="1" customWidth="1"/>
    <col min="5666" max="5666" width="11.28515625" style="1" customWidth="1"/>
    <col min="5667" max="5669" width="9.28515625" style="1" customWidth="1"/>
    <col min="5670" max="5670" width="11.28515625" style="1" customWidth="1"/>
    <col min="5671" max="5671" width="9" style="1" customWidth="1"/>
    <col min="5672" max="5673" width="9.7109375" style="1" customWidth="1"/>
    <col min="5674" max="5674" width="11.140625" style="1" customWidth="1"/>
    <col min="5675" max="5675" width="9.5703125" style="1" customWidth="1"/>
    <col min="5676" max="5676" width="9.28515625" style="1" customWidth="1"/>
    <col min="5677" max="5677" width="8.85546875" style="1" customWidth="1"/>
    <col min="5678" max="5678" width="11.140625" style="1" customWidth="1"/>
    <col min="5679" max="5679" width="8.85546875" style="1" customWidth="1"/>
    <col min="5680" max="5680" width="9.5703125" style="1" customWidth="1"/>
    <col min="5681" max="5681" width="9.28515625" style="1" customWidth="1"/>
    <col min="5682" max="5682" width="11.42578125" style="1" customWidth="1"/>
    <col min="5683" max="5683" width="9.5703125" style="1" customWidth="1"/>
    <col min="5684" max="5684" width="10.28515625" style="1" customWidth="1"/>
    <col min="5685" max="5685" width="11.42578125" style="1" customWidth="1"/>
    <col min="5686" max="5686" width="10.85546875" style="1" customWidth="1"/>
    <col min="5687" max="5687" width="43.42578125" style="1" customWidth="1"/>
    <col min="5688" max="5904" width="9.140625" style="1"/>
    <col min="5905" max="5905" width="34.5703125" style="1" customWidth="1"/>
    <col min="5906" max="5906" width="13.28515625" style="1" customWidth="1"/>
    <col min="5907" max="5907" width="14.28515625" style="1" customWidth="1"/>
    <col min="5908" max="5908" width="13.5703125" style="1" customWidth="1"/>
    <col min="5909" max="5909" width="9.28515625" style="1" customWidth="1"/>
    <col min="5910" max="5910" width="10.5703125" style="1" customWidth="1"/>
    <col min="5911" max="5911" width="8.42578125" style="1" customWidth="1"/>
    <col min="5912" max="5912" width="8.85546875" style="1" customWidth="1"/>
    <col min="5913" max="5913" width="8.7109375" style="1" customWidth="1"/>
    <col min="5914" max="5914" width="9.42578125" style="1" customWidth="1"/>
    <col min="5915" max="5915" width="8" style="1" customWidth="1"/>
    <col min="5916" max="5916" width="9" style="1" customWidth="1"/>
    <col min="5917" max="5917" width="8.85546875" style="1" customWidth="1"/>
    <col min="5918" max="5918" width="11.140625" style="1" customWidth="1"/>
    <col min="5919" max="5919" width="9.28515625" style="1" customWidth="1"/>
    <col min="5920" max="5920" width="9.5703125" style="1" customWidth="1"/>
    <col min="5921" max="5921" width="9.7109375" style="1" customWidth="1"/>
    <col min="5922" max="5922" width="11.28515625" style="1" customWidth="1"/>
    <col min="5923" max="5925" width="9.28515625" style="1" customWidth="1"/>
    <col min="5926" max="5926" width="11.28515625" style="1" customWidth="1"/>
    <col min="5927" max="5927" width="9" style="1" customWidth="1"/>
    <col min="5928" max="5929" width="9.7109375" style="1" customWidth="1"/>
    <col min="5930" max="5930" width="11.140625" style="1" customWidth="1"/>
    <col min="5931" max="5931" width="9.5703125" style="1" customWidth="1"/>
    <col min="5932" max="5932" width="9.28515625" style="1" customWidth="1"/>
    <col min="5933" max="5933" width="8.85546875" style="1" customWidth="1"/>
    <col min="5934" max="5934" width="11.140625" style="1" customWidth="1"/>
    <col min="5935" max="5935" width="8.85546875" style="1" customWidth="1"/>
    <col min="5936" max="5936" width="9.5703125" style="1" customWidth="1"/>
    <col min="5937" max="5937" width="9.28515625" style="1" customWidth="1"/>
    <col min="5938" max="5938" width="11.42578125" style="1" customWidth="1"/>
    <col min="5939" max="5939" width="9.5703125" style="1" customWidth="1"/>
    <col min="5940" max="5940" width="10.28515625" style="1" customWidth="1"/>
    <col min="5941" max="5941" width="11.42578125" style="1" customWidth="1"/>
    <col min="5942" max="5942" width="10.85546875" style="1" customWidth="1"/>
    <col min="5943" max="5943" width="43.42578125" style="1" customWidth="1"/>
    <col min="5944" max="6160" width="9.140625" style="1"/>
    <col min="6161" max="6161" width="34.5703125" style="1" customWidth="1"/>
    <col min="6162" max="6162" width="13.28515625" style="1" customWidth="1"/>
    <col min="6163" max="6163" width="14.28515625" style="1" customWidth="1"/>
    <col min="6164" max="6164" width="13.5703125" style="1" customWidth="1"/>
    <col min="6165" max="6165" width="9.28515625" style="1" customWidth="1"/>
    <col min="6166" max="6166" width="10.5703125" style="1" customWidth="1"/>
    <col min="6167" max="6167" width="8.42578125" style="1" customWidth="1"/>
    <col min="6168" max="6168" width="8.85546875" style="1" customWidth="1"/>
    <col min="6169" max="6169" width="8.7109375" style="1" customWidth="1"/>
    <col min="6170" max="6170" width="9.42578125" style="1" customWidth="1"/>
    <col min="6171" max="6171" width="8" style="1" customWidth="1"/>
    <col min="6172" max="6172" width="9" style="1" customWidth="1"/>
    <col min="6173" max="6173" width="8.85546875" style="1" customWidth="1"/>
    <col min="6174" max="6174" width="11.140625" style="1" customWidth="1"/>
    <col min="6175" max="6175" width="9.28515625" style="1" customWidth="1"/>
    <col min="6176" max="6176" width="9.5703125" style="1" customWidth="1"/>
    <col min="6177" max="6177" width="9.7109375" style="1" customWidth="1"/>
    <col min="6178" max="6178" width="11.28515625" style="1" customWidth="1"/>
    <col min="6179" max="6181" width="9.28515625" style="1" customWidth="1"/>
    <col min="6182" max="6182" width="11.28515625" style="1" customWidth="1"/>
    <col min="6183" max="6183" width="9" style="1" customWidth="1"/>
    <col min="6184" max="6185" width="9.7109375" style="1" customWidth="1"/>
    <col min="6186" max="6186" width="11.140625" style="1" customWidth="1"/>
    <col min="6187" max="6187" width="9.5703125" style="1" customWidth="1"/>
    <col min="6188" max="6188" width="9.28515625" style="1" customWidth="1"/>
    <col min="6189" max="6189" width="8.85546875" style="1" customWidth="1"/>
    <col min="6190" max="6190" width="11.140625" style="1" customWidth="1"/>
    <col min="6191" max="6191" width="8.85546875" style="1" customWidth="1"/>
    <col min="6192" max="6192" width="9.5703125" style="1" customWidth="1"/>
    <col min="6193" max="6193" width="9.28515625" style="1" customWidth="1"/>
    <col min="6194" max="6194" width="11.42578125" style="1" customWidth="1"/>
    <col min="6195" max="6195" width="9.5703125" style="1" customWidth="1"/>
    <col min="6196" max="6196" width="10.28515625" style="1" customWidth="1"/>
    <col min="6197" max="6197" width="11.42578125" style="1" customWidth="1"/>
    <col min="6198" max="6198" width="10.85546875" style="1" customWidth="1"/>
    <col min="6199" max="6199" width="43.42578125" style="1" customWidth="1"/>
    <col min="6200" max="6416" width="9.140625" style="1"/>
    <col min="6417" max="6417" width="34.5703125" style="1" customWidth="1"/>
    <col min="6418" max="6418" width="13.28515625" style="1" customWidth="1"/>
    <col min="6419" max="6419" width="14.28515625" style="1" customWidth="1"/>
    <col min="6420" max="6420" width="13.5703125" style="1" customWidth="1"/>
    <col min="6421" max="6421" width="9.28515625" style="1" customWidth="1"/>
    <col min="6422" max="6422" width="10.5703125" style="1" customWidth="1"/>
    <col min="6423" max="6423" width="8.42578125" style="1" customWidth="1"/>
    <col min="6424" max="6424" width="8.85546875" style="1" customWidth="1"/>
    <col min="6425" max="6425" width="8.7109375" style="1" customWidth="1"/>
    <col min="6426" max="6426" width="9.42578125" style="1" customWidth="1"/>
    <col min="6427" max="6427" width="8" style="1" customWidth="1"/>
    <col min="6428" max="6428" width="9" style="1" customWidth="1"/>
    <col min="6429" max="6429" width="8.85546875" style="1" customWidth="1"/>
    <col min="6430" max="6430" width="11.140625" style="1" customWidth="1"/>
    <col min="6431" max="6431" width="9.28515625" style="1" customWidth="1"/>
    <col min="6432" max="6432" width="9.5703125" style="1" customWidth="1"/>
    <col min="6433" max="6433" width="9.7109375" style="1" customWidth="1"/>
    <col min="6434" max="6434" width="11.28515625" style="1" customWidth="1"/>
    <col min="6435" max="6437" width="9.28515625" style="1" customWidth="1"/>
    <col min="6438" max="6438" width="11.28515625" style="1" customWidth="1"/>
    <col min="6439" max="6439" width="9" style="1" customWidth="1"/>
    <col min="6440" max="6441" width="9.7109375" style="1" customWidth="1"/>
    <col min="6442" max="6442" width="11.140625" style="1" customWidth="1"/>
    <col min="6443" max="6443" width="9.5703125" style="1" customWidth="1"/>
    <col min="6444" max="6444" width="9.28515625" style="1" customWidth="1"/>
    <col min="6445" max="6445" width="8.85546875" style="1" customWidth="1"/>
    <col min="6446" max="6446" width="11.140625" style="1" customWidth="1"/>
    <col min="6447" max="6447" width="8.85546875" style="1" customWidth="1"/>
    <col min="6448" max="6448" width="9.5703125" style="1" customWidth="1"/>
    <col min="6449" max="6449" width="9.28515625" style="1" customWidth="1"/>
    <col min="6450" max="6450" width="11.42578125" style="1" customWidth="1"/>
    <col min="6451" max="6451" width="9.5703125" style="1" customWidth="1"/>
    <col min="6452" max="6452" width="10.28515625" style="1" customWidth="1"/>
    <col min="6453" max="6453" width="11.42578125" style="1" customWidth="1"/>
    <col min="6454" max="6454" width="10.85546875" style="1" customWidth="1"/>
    <col min="6455" max="6455" width="43.42578125" style="1" customWidth="1"/>
    <col min="6456" max="6672" width="9.140625" style="1"/>
    <col min="6673" max="6673" width="34.5703125" style="1" customWidth="1"/>
    <col min="6674" max="6674" width="13.28515625" style="1" customWidth="1"/>
    <col min="6675" max="6675" width="14.28515625" style="1" customWidth="1"/>
    <col min="6676" max="6676" width="13.5703125" style="1" customWidth="1"/>
    <col min="6677" max="6677" width="9.28515625" style="1" customWidth="1"/>
    <col min="6678" max="6678" width="10.5703125" style="1" customWidth="1"/>
    <col min="6679" max="6679" width="8.42578125" style="1" customWidth="1"/>
    <col min="6680" max="6680" width="8.85546875" style="1" customWidth="1"/>
    <col min="6681" max="6681" width="8.7109375" style="1" customWidth="1"/>
    <col min="6682" max="6682" width="9.42578125" style="1" customWidth="1"/>
    <col min="6683" max="6683" width="8" style="1" customWidth="1"/>
    <col min="6684" max="6684" width="9" style="1" customWidth="1"/>
    <col min="6685" max="6685" width="8.85546875" style="1" customWidth="1"/>
    <col min="6686" max="6686" width="11.140625" style="1" customWidth="1"/>
    <col min="6687" max="6687" width="9.28515625" style="1" customWidth="1"/>
    <col min="6688" max="6688" width="9.5703125" style="1" customWidth="1"/>
    <col min="6689" max="6689" width="9.7109375" style="1" customWidth="1"/>
    <col min="6690" max="6690" width="11.28515625" style="1" customWidth="1"/>
    <col min="6691" max="6693" width="9.28515625" style="1" customWidth="1"/>
    <col min="6694" max="6694" width="11.28515625" style="1" customWidth="1"/>
    <col min="6695" max="6695" width="9" style="1" customWidth="1"/>
    <col min="6696" max="6697" width="9.7109375" style="1" customWidth="1"/>
    <col min="6698" max="6698" width="11.140625" style="1" customWidth="1"/>
    <col min="6699" max="6699" width="9.5703125" style="1" customWidth="1"/>
    <col min="6700" max="6700" width="9.28515625" style="1" customWidth="1"/>
    <col min="6701" max="6701" width="8.85546875" style="1" customWidth="1"/>
    <col min="6702" max="6702" width="11.140625" style="1" customWidth="1"/>
    <col min="6703" max="6703" width="8.85546875" style="1" customWidth="1"/>
    <col min="6704" max="6704" width="9.5703125" style="1" customWidth="1"/>
    <col min="6705" max="6705" width="9.28515625" style="1" customWidth="1"/>
    <col min="6706" max="6706" width="11.42578125" style="1" customWidth="1"/>
    <col min="6707" max="6707" width="9.5703125" style="1" customWidth="1"/>
    <col min="6708" max="6708" width="10.28515625" style="1" customWidth="1"/>
    <col min="6709" max="6709" width="11.42578125" style="1" customWidth="1"/>
    <col min="6710" max="6710" width="10.85546875" style="1" customWidth="1"/>
    <col min="6711" max="6711" width="43.42578125" style="1" customWidth="1"/>
    <col min="6712" max="6928" width="9.140625" style="1"/>
    <col min="6929" max="6929" width="34.5703125" style="1" customWidth="1"/>
    <col min="6930" max="6930" width="13.28515625" style="1" customWidth="1"/>
    <col min="6931" max="6931" width="14.28515625" style="1" customWidth="1"/>
    <col min="6932" max="6932" width="13.5703125" style="1" customWidth="1"/>
    <col min="6933" max="6933" width="9.28515625" style="1" customWidth="1"/>
    <col min="6934" max="6934" width="10.5703125" style="1" customWidth="1"/>
    <col min="6935" max="6935" width="8.42578125" style="1" customWidth="1"/>
    <col min="6936" max="6936" width="8.85546875" style="1" customWidth="1"/>
    <col min="6937" max="6937" width="8.7109375" style="1" customWidth="1"/>
    <col min="6938" max="6938" width="9.42578125" style="1" customWidth="1"/>
    <col min="6939" max="6939" width="8" style="1" customWidth="1"/>
    <col min="6940" max="6940" width="9" style="1" customWidth="1"/>
    <col min="6941" max="6941" width="8.85546875" style="1" customWidth="1"/>
    <col min="6942" max="6942" width="11.140625" style="1" customWidth="1"/>
    <col min="6943" max="6943" width="9.28515625" style="1" customWidth="1"/>
    <col min="6944" max="6944" width="9.5703125" style="1" customWidth="1"/>
    <col min="6945" max="6945" width="9.7109375" style="1" customWidth="1"/>
    <col min="6946" max="6946" width="11.28515625" style="1" customWidth="1"/>
    <col min="6947" max="6949" width="9.28515625" style="1" customWidth="1"/>
    <col min="6950" max="6950" width="11.28515625" style="1" customWidth="1"/>
    <col min="6951" max="6951" width="9" style="1" customWidth="1"/>
    <col min="6952" max="6953" width="9.7109375" style="1" customWidth="1"/>
    <col min="6954" max="6954" width="11.140625" style="1" customWidth="1"/>
    <col min="6955" max="6955" width="9.5703125" style="1" customWidth="1"/>
    <col min="6956" max="6956" width="9.28515625" style="1" customWidth="1"/>
    <col min="6957" max="6957" width="8.85546875" style="1" customWidth="1"/>
    <col min="6958" max="6958" width="11.140625" style="1" customWidth="1"/>
    <col min="6959" max="6959" width="8.85546875" style="1" customWidth="1"/>
    <col min="6960" max="6960" width="9.5703125" style="1" customWidth="1"/>
    <col min="6961" max="6961" width="9.28515625" style="1" customWidth="1"/>
    <col min="6962" max="6962" width="11.42578125" style="1" customWidth="1"/>
    <col min="6963" max="6963" width="9.5703125" style="1" customWidth="1"/>
    <col min="6964" max="6964" width="10.28515625" style="1" customWidth="1"/>
    <col min="6965" max="6965" width="11.42578125" style="1" customWidth="1"/>
    <col min="6966" max="6966" width="10.85546875" style="1" customWidth="1"/>
    <col min="6967" max="6967" width="43.42578125" style="1" customWidth="1"/>
    <col min="6968" max="7184" width="9.140625" style="1"/>
    <col min="7185" max="7185" width="34.5703125" style="1" customWidth="1"/>
    <col min="7186" max="7186" width="13.28515625" style="1" customWidth="1"/>
    <col min="7187" max="7187" width="14.28515625" style="1" customWidth="1"/>
    <col min="7188" max="7188" width="13.5703125" style="1" customWidth="1"/>
    <col min="7189" max="7189" width="9.28515625" style="1" customWidth="1"/>
    <col min="7190" max="7190" width="10.5703125" style="1" customWidth="1"/>
    <col min="7191" max="7191" width="8.42578125" style="1" customWidth="1"/>
    <col min="7192" max="7192" width="8.85546875" style="1" customWidth="1"/>
    <col min="7193" max="7193" width="8.7109375" style="1" customWidth="1"/>
    <col min="7194" max="7194" width="9.42578125" style="1" customWidth="1"/>
    <col min="7195" max="7195" width="8" style="1" customWidth="1"/>
    <col min="7196" max="7196" width="9" style="1" customWidth="1"/>
    <col min="7197" max="7197" width="8.85546875" style="1" customWidth="1"/>
    <col min="7198" max="7198" width="11.140625" style="1" customWidth="1"/>
    <col min="7199" max="7199" width="9.28515625" style="1" customWidth="1"/>
    <col min="7200" max="7200" width="9.5703125" style="1" customWidth="1"/>
    <col min="7201" max="7201" width="9.7109375" style="1" customWidth="1"/>
    <col min="7202" max="7202" width="11.28515625" style="1" customWidth="1"/>
    <col min="7203" max="7205" width="9.28515625" style="1" customWidth="1"/>
    <col min="7206" max="7206" width="11.28515625" style="1" customWidth="1"/>
    <col min="7207" max="7207" width="9" style="1" customWidth="1"/>
    <col min="7208" max="7209" width="9.7109375" style="1" customWidth="1"/>
    <col min="7210" max="7210" width="11.140625" style="1" customWidth="1"/>
    <col min="7211" max="7211" width="9.5703125" style="1" customWidth="1"/>
    <col min="7212" max="7212" width="9.28515625" style="1" customWidth="1"/>
    <col min="7213" max="7213" width="8.85546875" style="1" customWidth="1"/>
    <col min="7214" max="7214" width="11.140625" style="1" customWidth="1"/>
    <col min="7215" max="7215" width="8.85546875" style="1" customWidth="1"/>
    <col min="7216" max="7216" width="9.5703125" style="1" customWidth="1"/>
    <col min="7217" max="7217" width="9.28515625" style="1" customWidth="1"/>
    <col min="7218" max="7218" width="11.42578125" style="1" customWidth="1"/>
    <col min="7219" max="7219" width="9.5703125" style="1" customWidth="1"/>
    <col min="7220" max="7220" width="10.28515625" style="1" customWidth="1"/>
    <col min="7221" max="7221" width="11.42578125" style="1" customWidth="1"/>
    <col min="7222" max="7222" width="10.85546875" style="1" customWidth="1"/>
    <col min="7223" max="7223" width="43.42578125" style="1" customWidth="1"/>
    <col min="7224" max="7440" width="9.140625" style="1"/>
    <col min="7441" max="7441" width="34.5703125" style="1" customWidth="1"/>
    <col min="7442" max="7442" width="13.28515625" style="1" customWidth="1"/>
    <col min="7443" max="7443" width="14.28515625" style="1" customWidth="1"/>
    <col min="7444" max="7444" width="13.5703125" style="1" customWidth="1"/>
    <col min="7445" max="7445" width="9.28515625" style="1" customWidth="1"/>
    <col min="7446" max="7446" width="10.5703125" style="1" customWidth="1"/>
    <col min="7447" max="7447" width="8.42578125" style="1" customWidth="1"/>
    <col min="7448" max="7448" width="8.85546875" style="1" customWidth="1"/>
    <col min="7449" max="7449" width="8.7109375" style="1" customWidth="1"/>
    <col min="7450" max="7450" width="9.42578125" style="1" customWidth="1"/>
    <col min="7451" max="7451" width="8" style="1" customWidth="1"/>
    <col min="7452" max="7452" width="9" style="1" customWidth="1"/>
    <col min="7453" max="7453" width="8.85546875" style="1" customWidth="1"/>
    <col min="7454" max="7454" width="11.140625" style="1" customWidth="1"/>
    <col min="7455" max="7455" width="9.28515625" style="1" customWidth="1"/>
    <col min="7456" max="7456" width="9.5703125" style="1" customWidth="1"/>
    <col min="7457" max="7457" width="9.7109375" style="1" customWidth="1"/>
    <col min="7458" max="7458" width="11.28515625" style="1" customWidth="1"/>
    <col min="7459" max="7461" width="9.28515625" style="1" customWidth="1"/>
    <col min="7462" max="7462" width="11.28515625" style="1" customWidth="1"/>
    <col min="7463" max="7463" width="9" style="1" customWidth="1"/>
    <col min="7464" max="7465" width="9.7109375" style="1" customWidth="1"/>
    <col min="7466" max="7466" width="11.140625" style="1" customWidth="1"/>
    <col min="7467" max="7467" width="9.5703125" style="1" customWidth="1"/>
    <col min="7468" max="7468" width="9.28515625" style="1" customWidth="1"/>
    <col min="7469" max="7469" width="8.85546875" style="1" customWidth="1"/>
    <col min="7470" max="7470" width="11.140625" style="1" customWidth="1"/>
    <col min="7471" max="7471" width="8.85546875" style="1" customWidth="1"/>
    <col min="7472" max="7472" width="9.5703125" style="1" customWidth="1"/>
    <col min="7473" max="7473" width="9.28515625" style="1" customWidth="1"/>
    <col min="7474" max="7474" width="11.42578125" style="1" customWidth="1"/>
    <col min="7475" max="7475" width="9.5703125" style="1" customWidth="1"/>
    <col min="7476" max="7476" width="10.28515625" style="1" customWidth="1"/>
    <col min="7477" max="7477" width="11.42578125" style="1" customWidth="1"/>
    <col min="7478" max="7478" width="10.85546875" style="1" customWidth="1"/>
    <col min="7479" max="7479" width="43.42578125" style="1" customWidth="1"/>
    <col min="7480" max="7696" width="9.140625" style="1"/>
    <col min="7697" max="7697" width="34.5703125" style="1" customWidth="1"/>
    <col min="7698" max="7698" width="13.28515625" style="1" customWidth="1"/>
    <col min="7699" max="7699" width="14.28515625" style="1" customWidth="1"/>
    <col min="7700" max="7700" width="13.5703125" style="1" customWidth="1"/>
    <col min="7701" max="7701" width="9.28515625" style="1" customWidth="1"/>
    <col min="7702" max="7702" width="10.5703125" style="1" customWidth="1"/>
    <col min="7703" max="7703" width="8.42578125" style="1" customWidth="1"/>
    <col min="7704" max="7704" width="8.85546875" style="1" customWidth="1"/>
    <col min="7705" max="7705" width="8.7109375" style="1" customWidth="1"/>
    <col min="7706" max="7706" width="9.42578125" style="1" customWidth="1"/>
    <col min="7707" max="7707" width="8" style="1" customWidth="1"/>
    <col min="7708" max="7708" width="9" style="1" customWidth="1"/>
    <col min="7709" max="7709" width="8.85546875" style="1" customWidth="1"/>
    <col min="7710" max="7710" width="11.140625" style="1" customWidth="1"/>
    <col min="7711" max="7711" width="9.28515625" style="1" customWidth="1"/>
    <col min="7712" max="7712" width="9.5703125" style="1" customWidth="1"/>
    <col min="7713" max="7713" width="9.7109375" style="1" customWidth="1"/>
    <col min="7714" max="7714" width="11.28515625" style="1" customWidth="1"/>
    <col min="7715" max="7717" width="9.28515625" style="1" customWidth="1"/>
    <col min="7718" max="7718" width="11.28515625" style="1" customWidth="1"/>
    <col min="7719" max="7719" width="9" style="1" customWidth="1"/>
    <col min="7720" max="7721" width="9.7109375" style="1" customWidth="1"/>
    <col min="7722" max="7722" width="11.140625" style="1" customWidth="1"/>
    <col min="7723" max="7723" width="9.5703125" style="1" customWidth="1"/>
    <col min="7724" max="7724" width="9.28515625" style="1" customWidth="1"/>
    <col min="7725" max="7725" width="8.85546875" style="1" customWidth="1"/>
    <col min="7726" max="7726" width="11.140625" style="1" customWidth="1"/>
    <col min="7727" max="7727" width="8.85546875" style="1" customWidth="1"/>
    <col min="7728" max="7728" width="9.5703125" style="1" customWidth="1"/>
    <col min="7729" max="7729" width="9.28515625" style="1" customWidth="1"/>
    <col min="7730" max="7730" width="11.42578125" style="1" customWidth="1"/>
    <col min="7731" max="7731" width="9.5703125" style="1" customWidth="1"/>
    <col min="7732" max="7732" width="10.28515625" style="1" customWidth="1"/>
    <col min="7733" max="7733" width="11.42578125" style="1" customWidth="1"/>
    <col min="7734" max="7734" width="10.85546875" style="1" customWidth="1"/>
    <col min="7735" max="7735" width="43.42578125" style="1" customWidth="1"/>
    <col min="7736" max="7952" width="9.140625" style="1"/>
    <col min="7953" max="7953" width="34.5703125" style="1" customWidth="1"/>
    <col min="7954" max="7954" width="13.28515625" style="1" customWidth="1"/>
    <col min="7955" max="7955" width="14.28515625" style="1" customWidth="1"/>
    <col min="7956" max="7956" width="13.5703125" style="1" customWidth="1"/>
    <col min="7957" max="7957" width="9.28515625" style="1" customWidth="1"/>
    <col min="7958" max="7958" width="10.5703125" style="1" customWidth="1"/>
    <col min="7959" max="7959" width="8.42578125" style="1" customWidth="1"/>
    <col min="7960" max="7960" width="8.85546875" style="1" customWidth="1"/>
    <col min="7961" max="7961" width="8.7109375" style="1" customWidth="1"/>
    <col min="7962" max="7962" width="9.42578125" style="1" customWidth="1"/>
    <col min="7963" max="7963" width="8" style="1" customWidth="1"/>
    <col min="7964" max="7964" width="9" style="1" customWidth="1"/>
    <col min="7965" max="7965" width="8.85546875" style="1" customWidth="1"/>
    <col min="7966" max="7966" width="11.140625" style="1" customWidth="1"/>
    <col min="7967" max="7967" width="9.28515625" style="1" customWidth="1"/>
    <col min="7968" max="7968" width="9.5703125" style="1" customWidth="1"/>
    <col min="7969" max="7969" width="9.7109375" style="1" customWidth="1"/>
    <col min="7970" max="7970" width="11.28515625" style="1" customWidth="1"/>
    <col min="7971" max="7973" width="9.28515625" style="1" customWidth="1"/>
    <col min="7974" max="7974" width="11.28515625" style="1" customWidth="1"/>
    <col min="7975" max="7975" width="9" style="1" customWidth="1"/>
    <col min="7976" max="7977" width="9.7109375" style="1" customWidth="1"/>
    <col min="7978" max="7978" width="11.140625" style="1" customWidth="1"/>
    <col min="7979" max="7979" width="9.5703125" style="1" customWidth="1"/>
    <col min="7980" max="7980" width="9.28515625" style="1" customWidth="1"/>
    <col min="7981" max="7981" width="8.85546875" style="1" customWidth="1"/>
    <col min="7982" max="7982" width="11.140625" style="1" customWidth="1"/>
    <col min="7983" max="7983" width="8.85546875" style="1" customWidth="1"/>
    <col min="7984" max="7984" width="9.5703125" style="1" customWidth="1"/>
    <col min="7985" max="7985" width="9.28515625" style="1" customWidth="1"/>
    <col min="7986" max="7986" width="11.42578125" style="1" customWidth="1"/>
    <col min="7987" max="7987" width="9.5703125" style="1" customWidth="1"/>
    <col min="7988" max="7988" width="10.28515625" style="1" customWidth="1"/>
    <col min="7989" max="7989" width="11.42578125" style="1" customWidth="1"/>
    <col min="7990" max="7990" width="10.85546875" style="1" customWidth="1"/>
    <col min="7991" max="7991" width="43.42578125" style="1" customWidth="1"/>
    <col min="7992" max="8208" width="9.140625" style="1"/>
    <col min="8209" max="8209" width="34.5703125" style="1" customWidth="1"/>
    <col min="8210" max="8210" width="13.28515625" style="1" customWidth="1"/>
    <col min="8211" max="8211" width="14.28515625" style="1" customWidth="1"/>
    <col min="8212" max="8212" width="13.5703125" style="1" customWidth="1"/>
    <col min="8213" max="8213" width="9.28515625" style="1" customWidth="1"/>
    <col min="8214" max="8214" width="10.5703125" style="1" customWidth="1"/>
    <col min="8215" max="8215" width="8.42578125" style="1" customWidth="1"/>
    <col min="8216" max="8216" width="8.85546875" style="1" customWidth="1"/>
    <col min="8217" max="8217" width="8.7109375" style="1" customWidth="1"/>
    <col min="8218" max="8218" width="9.42578125" style="1" customWidth="1"/>
    <col min="8219" max="8219" width="8" style="1" customWidth="1"/>
    <col min="8220" max="8220" width="9" style="1" customWidth="1"/>
    <col min="8221" max="8221" width="8.85546875" style="1" customWidth="1"/>
    <col min="8222" max="8222" width="11.140625" style="1" customWidth="1"/>
    <col min="8223" max="8223" width="9.28515625" style="1" customWidth="1"/>
    <col min="8224" max="8224" width="9.5703125" style="1" customWidth="1"/>
    <col min="8225" max="8225" width="9.7109375" style="1" customWidth="1"/>
    <col min="8226" max="8226" width="11.28515625" style="1" customWidth="1"/>
    <col min="8227" max="8229" width="9.28515625" style="1" customWidth="1"/>
    <col min="8230" max="8230" width="11.28515625" style="1" customWidth="1"/>
    <col min="8231" max="8231" width="9" style="1" customWidth="1"/>
    <col min="8232" max="8233" width="9.7109375" style="1" customWidth="1"/>
    <col min="8234" max="8234" width="11.140625" style="1" customWidth="1"/>
    <col min="8235" max="8235" width="9.5703125" style="1" customWidth="1"/>
    <col min="8236" max="8236" width="9.28515625" style="1" customWidth="1"/>
    <col min="8237" max="8237" width="8.85546875" style="1" customWidth="1"/>
    <col min="8238" max="8238" width="11.140625" style="1" customWidth="1"/>
    <col min="8239" max="8239" width="8.85546875" style="1" customWidth="1"/>
    <col min="8240" max="8240" width="9.5703125" style="1" customWidth="1"/>
    <col min="8241" max="8241" width="9.28515625" style="1" customWidth="1"/>
    <col min="8242" max="8242" width="11.42578125" style="1" customWidth="1"/>
    <col min="8243" max="8243" width="9.5703125" style="1" customWidth="1"/>
    <col min="8244" max="8244" width="10.28515625" style="1" customWidth="1"/>
    <col min="8245" max="8245" width="11.42578125" style="1" customWidth="1"/>
    <col min="8246" max="8246" width="10.85546875" style="1" customWidth="1"/>
    <col min="8247" max="8247" width="43.42578125" style="1" customWidth="1"/>
    <col min="8248" max="8464" width="9.140625" style="1"/>
    <col min="8465" max="8465" width="34.5703125" style="1" customWidth="1"/>
    <col min="8466" max="8466" width="13.28515625" style="1" customWidth="1"/>
    <col min="8467" max="8467" width="14.28515625" style="1" customWidth="1"/>
    <col min="8468" max="8468" width="13.5703125" style="1" customWidth="1"/>
    <col min="8469" max="8469" width="9.28515625" style="1" customWidth="1"/>
    <col min="8470" max="8470" width="10.5703125" style="1" customWidth="1"/>
    <col min="8471" max="8471" width="8.42578125" style="1" customWidth="1"/>
    <col min="8472" max="8472" width="8.85546875" style="1" customWidth="1"/>
    <col min="8473" max="8473" width="8.7109375" style="1" customWidth="1"/>
    <col min="8474" max="8474" width="9.42578125" style="1" customWidth="1"/>
    <col min="8475" max="8475" width="8" style="1" customWidth="1"/>
    <col min="8476" max="8476" width="9" style="1" customWidth="1"/>
    <col min="8477" max="8477" width="8.85546875" style="1" customWidth="1"/>
    <col min="8478" max="8478" width="11.140625" style="1" customWidth="1"/>
    <col min="8479" max="8479" width="9.28515625" style="1" customWidth="1"/>
    <col min="8480" max="8480" width="9.5703125" style="1" customWidth="1"/>
    <col min="8481" max="8481" width="9.7109375" style="1" customWidth="1"/>
    <col min="8482" max="8482" width="11.28515625" style="1" customWidth="1"/>
    <col min="8483" max="8485" width="9.28515625" style="1" customWidth="1"/>
    <col min="8486" max="8486" width="11.28515625" style="1" customWidth="1"/>
    <col min="8487" max="8487" width="9" style="1" customWidth="1"/>
    <col min="8488" max="8489" width="9.7109375" style="1" customWidth="1"/>
    <col min="8490" max="8490" width="11.140625" style="1" customWidth="1"/>
    <col min="8491" max="8491" width="9.5703125" style="1" customWidth="1"/>
    <col min="8492" max="8492" width="9.28515625" style="1" customWidth="1"/>
    <col min="8493" max="8493" width="8.85546875" style="1" customWidth="1"/>
    <col min="8494" max="8494" width="11.140625" style="1" customWidth="1"/>
    <col min="8495" max="8495" width="8.85546875" style="1" customWidth="1"/>
    <col min="8496" max="8496" width="9.5703125" style="1" customWidth="1"/>
    <col min="8497" max="8497" width="9.28515625" style="1" customWidth="1"/>
    <col min="8498" max="8498" width="11.42578125" style="1" customWidth="1"/>
    <col min="8499" max="8499" width="9.5703125" style="1" customWidth="1"/>
    <col min="8500" max="8500" width="10.28515625" style="1" customWidth="1"/>
    <col min="8501" max="8501" width="11.42578125" style="1" customWidth="1"/>
    <col min="8502" max="8502" width="10.85546875" style="1" customWidth="1"/>
    <col min="8503" max="8503" width="43.42578125" style="1" customWidth="1"/>
    <col min="8504" max="8720" width="9.140625" style="1"/>
    <col min="8721" max="8721" width="34.5703125" style="1" customWidth="1"/>
    <col min="8722" max="8722" width="13.28515625" style="1" customWidth="1"/>
    <col min="8723" max="8723" width="14.28515625" style="1" customWidth="1"/>
    <col min="8724" max="8724" width="13.5703125" style="1" customWidth="1"/>
    <col min="8725" max="8725" width="9.28515625" style="1" customWidth="1"/>
    <col min="8726" max="8726" width="10.5703125" style="1" customWidth="1"/>
    <col min="8727" max="8727" width="8.42578125" style="1" customWidth="1"/>
    <col min="8728" max="8728" width="8.85546875" style="1" customWidth="1"/>
    <col min="8729" max="8729" width="8.7109375" style="1" customWidth="1"/>
    <col min="8730" max="8730" width="9.42578125" style="1" customWidth="1"/>
    <col min="8731" max="8731" width="8" style="1" customWidth="1"/>
    <col min="8732" max="8732" width="9" style="1" customWidth="1"/>
    <col min="8733" max="8733" width="8.85546875" style="1" customWidth="1"/>
    <col min="8734" max="8734" width="11.140625" style="1" customWidth="1"/>
    <col min="8735" max="8735" width="9.28515625" style="1" customWidth="1"/>
    <col min="8736" max="8736" width="9.5703125" style="1" customWidth="1"/>
    <col min="8737" max="8737" width="9.7109375" style="1" customWidth="1"/>
    <col min="8738" max="8738" width="11.28515625" style="1" customWidth="1"/>
    <col min="8739" max="8741" width="9.28515625" style="1" customWidth="1"/>
    <col min="8742" max="8742" width="11.28515625" style="1" customWidth="1"/>
    <col min="8743" max="8743" width="9" style="1" customWidth="1"/>
    <col min="8744" max="8745" width="9.7109375" style="1" customWidth="1"/>
    <col min="8746" max="8746" width="11.140625" style="1" customWidth="1"/>
    <col min="8747" max="8747" width="9.5703125" style="1" customWidth="1"/>
    <col min="8748" max="8748" width="9.28515625" style="1" customWidth="1"/>
    <col min="8749" max="8749" width="8.85546875" style="1" customWidth="1"/>
    <col min="8750" max="8750" width="11.140625" style="1" customWidth="1"/>
    <col min="8751" max="8751" width="8.85546875" style="1" customWidth="1"/>
    <col min="8752" max="8752" width="9.5703125" style="1" customWidth="1"/>
    <col min="8753" max="8753" width="9.28515625" style="1" customWidth="1"/>
    <col min="8754" max="8754" width="11.42578125" style="1" customWidth="1"/>
    <col min="8755" max="8755" width="9.5703125" style="1" customWidth="1"/>
    <col min="8756" max="8756" width="10.28515625" style="1" customWidth="1"/>
    <col min="8757" max="8757" width="11.42578125" style="1" customWidth="1"/>
    <col min="8758" max="8758" width="10.85546875" style="1" customWidth="1"/>
    <col min="8759" max="8759" width="43.42578125" style="1" customWidth="1"/>
    <col min="8760" max="8976" width="9.140625" style="1"/>
    <col min="8977" max="8977" width="34.5703125" style="1" customWidth="1"/>
    <col min="8978" max="8978" width="13.28515625" style="1" customWidth="1"/>
    <col min="8979" max="8979" width="14.28515625" style="1" customWidth="1"/>
    <col min="8980" max="8980" width="13.5703125" style="1" customWidth="1"/>
    <col min="8981" max="8981" width="9.28515625" style="1" customWidth="1"/>
    <col min="8982" max="8982" width="10.5703125" style="1" customWidth="1"/>
    <col min="8983" max="8983" width="8.42578125" style="1" customWidth="1"/>
    <col min="8984" max="8984" width="8.85546875" style="1" customWidth="1"/>
    <col min="8985" max="8985" width="8.7109375" style="1" customWidth="1"/>
    <col min="8986" max="8986" width="9.42578125" style="1" customWidth="1"/>
    <col min="8987" max="8987" width="8" style="1" customWidth="1"/>
    <col min="8988" max="8988" width="9" style="1" customWidth="1"/>
    <col min="8989" max="8989" width="8.85546875" style="1" customWidth="1"/>
    <col min="8990" max="8990" width="11.140625" style="1" customWidth="1"/>
    <col min="8991" max="8991" width="9.28515625" style="1" customWidth="1"/>
    <col min="8992" max="8992" width="9.5703125" style="1" customWidth="1"/>
    <col min="8993" max="8993" width="9.7109375" style="1" customWidth="1"/>
    <col min="8994" max="8994" width="11.28515625" style="1" customWidth="1"/>
    <col min="8995" max="8997" width="9.28515625" style="1" customWidth="1"/>
    <col min="8998" max="8998" width="11.28515625" style="1" customWidth="1"/>
    <col min="8999" max="8999" width="9" style="1" customWidth="1"/>
    <col min="9000" max="9001" width="9.7109375" style="1" customWidth="1"/>
    <col min="9002" max="9002" width="11.140625" style="1" customWidth="1"/>
    <col min="9003" max="9003" width="9.5703125" style="1" customWidth="1"/>
    <col min="9004" max="9004" width="9.28515625" style="1" customWidth="1"/>
    <col min="9005" max="9005" width="8.85546875" style="1" customWidth="1"/>
    <col min="9006" max="9006" width="11.140625" style="1" customWidth="1"/>
    <col min="9007" max="9007" width="8.85546875" style="1" customWidth="1"/>
    <col min="9008" max="9008" width="9.5703125" style="1" customWidth="1"/>
    <col min="9009" max="9009" width="9.28515625" style="1" customWidth="1"/>
    <col min="9010" max="9010" width="11.42578125" style="1" customWidth="1"/>
    <col min="9011" max="9011" width="9.5703125" style="1" customWidth="1"/>
    <col min="9012" max="9012" width="10.28515625" style="1" customWidth="1"/>
    <col min="9013" max="9013" width="11.42578125" style="1" customWidth="1"/>
    <col min="9014" max="9014" width="10.85546875" style="1" customWidth="1"/>
    <col min="9015" max="9015" width="43.42578125" style="1" customWidth="1"/>
    <col min="9016" max="9232" width="9.140625" style="1"/>
    <col min="9233" max="9233" width="34.5703125" style="1" customWidth="1"/>
    <col min="9234" max="9234" width="13.28515625" style="1" customWidth="1"/>
    <col min="9235" max="9235" width="14.28515625" style="1" customWidth="1"/>
    <col min="9236" max="9236" width="13.5703125" style="1" customWidth="1"/>
    <col min="9237" max="9237" width="9.28515625" style="1" customWidth="1"/>
    <col min="9238" max="9238" width="10.5703125" style="1" customWidth="1"/>
    <col min="9239" max="9239" width="8.42578125" style="1" customWidth="1"/>
    <col min="9240" max="9240" width="8.85546875" style="1" customWidth="1"/>
    <col min="9241" max="9241" width="8.7109375" style="1" customWidth="1"/>
    <col min="9242" max="9242" width="9.42578125" style="1" customWidth="1"/>
    <col min="9243" max="9243" width="8" style="1" customWidth="1"/>
    <col min="9244" max="9244" width="9" style="1" customWidth="1"/>
    <col min="9245" max="9245" width="8.85546875" style="1" customWidth="1"/>
    <col min="9246" max="9246" width="11.140625" style="1" customWidth="1"/>
    <col min="9247" max="9247" width="9.28515625" style="1" customWidth="1"/>
    <col min="9248" max="9248" width="9.5703125" style="1" customWidth="1"/>
    <col min="9249" max="9249" width="9.7109375" style="1" customWidth="1"/>
    <col min="9250" max="9250" width="11.28515625" style="1" customWidth="1"/>
    <col min="9251" max="9253" width="9.28515625" style="1" customWidth="1"/>
    <col min="9254" max="9254" width="11.28515625" style="1" customWidth="1"/>
    <col min="9255" max="9255" width="9" style="1" customWidth="1"/>
    <col min="9256" max="9257" width="9.7109375" style="1" customWidth="1"/>
    <col min="9258" max="9258" width="11.140625" style="1" customWidth="1"/>
    <col min="9259" max="9259" width="9.5703125" style="1" customWidth="1"/>
    <col min="9260" max="9260" width="9.28515625" style="1" customWidth="1"/>
    <col min="9261" max="9261" width="8.85546875" style="1" customWidth="1"/>
    <col min="9262" max="9262" width="11.140625" style="1" customWidth="1"/>
    <col min="9263" max="9263" width="8.85546875" style="1" customWidth="1"/>
    <col min="9264" max="9264" width="9.5703125" style="1" customWidth="1"/>
    <col min="9265" max="9265" width="9.28515625" style="1" customWidth="1"/>
    <col min="9266" max="9266" width="11.42578125" style="1" customWidth="1"/>
    <col min="9267" max="9267" width="9.5703125" style="1" customWidth="1"/>
    <col min="9268" max="9268" width="10.28515625" style="1" customWidth="1"/>
    <col min="9269" max="9269" width="11.42578125" style="1" customWidth="1"/>
    <col min="9270" max="9270" width="10.85546875" style="1" customWidth="1"/>
    <col min="9271" max="9271" width="43.42578125" style="1" customWidth="1"/>
    <col min="9272" max="9488" width="9.140625" style="1"/>
    <col min="9489" max="9489" width="34.5703125" style="1" customWidth="1"/>
    <col min="9490" max="9490" width="13.28515625" style="1" customWidth="1"/>
    <col min="9491" max="9491" width="14.28515625" style="1" customWidth="1"/>
    <col min="9492" max="9492" width="13.5703125" style="1" customWidth="1"/>
    <col min="9493" max="9493" width="9.28515625" style="1" customWidth="1"/>
    <col min="9494" max="9494" width="10.5703125" style="1" customWidth="1"/>
    <col min="9495" max="9495" width="8.42578125" style="1" customWidth="1"/>
    <col min="9496" max="9496" width="8.85546875" style="1" customWidth="1"/>
    <col min="9497" max="9497" width="8.7109375" style="1" customWidth="1"/>
    <col min="9498" max="9498" width="9.42578125" style="1" customWidth="1"/>
    <col min="9499" max="9499" width="8" style="1" customWidth="1"/>
    <col min="9500" max="9500" width="9" style="1" customWidth="1"/>
    <col min="9501" max="9501" width="8.85546875" style="1" customWidth="1"/>
    <col min="9502" max="9502" width="11.140625" style="1" customWidth="1"/>
    <col min="9503" max="9503" width="9.28515625" style="1" customWidth="1"/>
    <col min="9504" max="9504" width="9.5703125" style="1" customWidth="1"/>
    <col min="9505" max="9505" width="9.7109375" style="1" customWidth="1"/>
    <col min="9506" max="9506" width="11.28515625" style="1" customWidth="1"/>
    <col min="9507" max="9509" width="9.28515625" style="1" customWidth="1"/>
    <col min="9510" max="9510" width="11.28515625" style="1" customWidth="1"/>
    <col min="9511" max="9511" width="9" style="1" customWidth="1"/>
    <col min="9512" max="9513" width="9.7109375" style="1" customWidth="1"/>
    <col min="9514" max="9514" width="11.140625" style="1" customWidth="1"/>
    <col min="9515" max="9515" width="9.5703125" style="1" customWidth="1"/>
    <col min="9516" max="9516" width="9.28515625" style="1" customWidth="1"/>
    <col min="9517" max="9517" width="8.85546875" style="1" customWidth="1"/>
    <col min="9518" max="9518" width="11.140625" style="1" customWidth="1"/>
    <col min="9519" max="9519" width="8.85546875" style="1" customWidth="1"/>
    <col min="9520" max="9520" width="9.5703125" style="1" customWidth="1"/>
    <col min="9521" max="9521" width="9.28515625" style="1" customWidth="1"/>
    <col min="9522" max="9522" width="11.42578125" style="1" customWidth="1"/>
    <col min="9523" max="9523" width="9.5703125" style="1" customWidth="1"/>
    <col min="9524" max="9524" width="10.28515625" style="1" customWidth="1"/>
    <col min="9525" max="9525" width="11.42578125" style="1" customWidth="1"/>
    <col min="9526" max="9526" width="10.85546875" style="1" customWidth="1"/>
    <col min="9527" max="9527" width="43.42578125" style="1" customWidth="1"/>
    <col min="9528" max="9744" width="9.140625" style="1"/>
    <col min="9745" max="9745" width="34.5703125" style="1" customWidth="1"/>
    <col min="9746" max="9746" width="13.28515625" style="1" customWidth="1"/>
    <col min="9747" max="9747" width="14.28515625" style="1" customWidth="1"/>
    <col min="9748" max="9748" width="13.5703125" style="1" customWidth="1"/>
    <col min="9749" max="9749" width="9.28515625" style="1" customWidth="1"/>
    <col min="9750" max="9750" width="10.5703125" style="1" customWidth="1"/>
    <col min="9751" max="9751" width="8.42578125" style="1" customWidth="1"/>
    <col min="9752" max="9752" width="8.85546875" style="1" customWidth="1"/>
    <col min="9753" max="9753" width="8.7109375" style="1" customWidth="1"/>
    <col min="9754" max="9754" width="9.42578125" style="1" customWidth="1"/>
    <col min="9755" max="9755" width="8" style="1" customWidth="1"/>
    <col min="9756" max="9756" width="9" style="1" customWidth="1"/>
    <col min="9757" max="9757" width="8.85546875" style="1" customWidth="1"/>
    <col min="9758" max="9758" width="11.140625" style="1" customWidth="1"/>
    <col min="9759" max="9759" width="9.28515625" style="1" customWidth="1"/>
    <col min="9760" max="9760" width="9.5703125" style="1" customWidth="1"/>
    <col min="9761" max="9761" width="9.7109375" style="1" customWidth="1"/>
    <col min="9762" max="9762" width="11.28515625" style="1" customWidth="1"/>
    <col min="9763" max="9765" width="9.28515625" style="1" customWidth="1"/>
    <col min="9766" max="9766" width="11.28515625" style="1" customWidth="1"/>
    <col min="9767" max="9767" width="9" style="1" customWidth="1"/>
    <col min="9768" max="9769" width="9.7109375" style="1" customWidth="1"/>
    <col min="9770" max="9770" width="11.140625" style="1" customWidth="1"/>
    <col min="9771" max="9771" width="9.5703125" style="1" customWidth="1"/>
    <col min="9772" max="9772" width="9.28515625" style="1" customWidth="1"/>
    <col min="9773" max="9773" width="8.85546875" style="1" customWidth="1"/>
    <col min="9774" max="9774" width="11.140625" style="1" customWidth="1"/>
    <col min="9775" max="9775" width="8.85546875" style="1" customWidth="1"/>
    <col min="9776" max="9776" width="9.5703125" style="1" customWidth="1"/>
    <col min="9777" max="9777" width="9.28515625" style="1" customWidth="1"/>
    <col min="9778" max="9778" width="11.42578125" style="1" customWidth="1"/>
    <col min="9779" max="9779" width="9.5703125" style="1" customWidth="1"/>
    <col min="9780" max="9780" width="10.28515625" style="1" customWidth="1"/>
    <col min="9781" max="9781" width="11.42578125" style="1" customWidth="1"/>
    <col min="9782" max="9782" width="10.85546875" style="1" customWidth="1"/>
    <col min="9783" max="9783" width="43.42578125" style="1" customWidth="1"/>
    <col min="9784" max="10000" width="9.140625" style="1"/>
    <col min="10001" max="10001" width="34.5703125" style="1" customWidth="1"/>
    <col min="10002" max="10002" width="13.28515625" style="1" customWidth="1"/>
    <col min="10003" max="10003" width="14.28515625" style="1" customWidth="1"/>
    <col min="10004" max="10004" width="13.5703125" style="1" customWidth="1"/>
    <col min="10005" max="10005" width="9.28515625" style="1" customWidth="1"/>
    <col min="10006" max="10006" width="10.5703125" style="1" customWidth="1"/>
    <col min="10007" max="10007" width="8.42578125" style="1" customWidth="1"/>
    <col min="10008" max="10008" width="8.85546875" style="1" customWidth="1"/>
    <col min="10009" max="10009" width="8.7109375" style="1" customWidth="1"/>
    <col min="10010" max="10010" width="9.42578125" style="1" customWidth="1"/>
    <col min="10011" max="10011" width="8" style="1" customWidth="1"/>
    <col min="10012" max="10012" width="9" style="1" customWidth="1"/>
    <col min="10013" max="10013" width="8.85546875" style="1" customWidth="1"/>
    <col min="10014" max="10014" width="11.140625" style="1" customWidth="1"/>
    <col min="10015" max="10015" width="9.28515625" style="1" customWidth="1"/>
    <col min="10016" max="10016" width="9.5703125" style="1" customWidth="1"/>
    <col min="10017" max="10017" width="9.7109375" style="1" customWidth="1"/>
    <col min="10018" max="10018" width="11.28515625" style="1" customWidth="1"/>
    <col min="10019" max="10021" width="9.28515625" style="1" customWidth="1"/>
    <col min="10022" max="10022" width="11.28515625" style="1" customWidth="1"/>
    <col min="10023" max="10023" width="9" style="1" customWidth="1"/>
    <col min="10024" max="10025" width="9.7109375" style="1" customWidth="1"/>
    <col min="10026" max="10026" width="11.140625" style="1" customWidth="1"/>
    <col min="10027" max="10027" width="9.5703125" style="1" customWidth="1"/>
    <col min="10028" max="10028" width="9.28515625" style="1" customWidth="1"/>
    <col min="10029" max="10029" width="8.85546875" style="1" customWidth="1"/>
    <col min="10030" max="10030" width="11.140625" style="1" customWidth="1"/>
    <col min="10031" max="10031" width="8.85546875" style="1" customWidth="1"/>
    <col min="10032" max="10032" width="9.5703125" style="1" customWidth="1"/>
    <col min="10033" max="10033" width="9.28515625" style="1" customWidth="1"/>
    <col min="10034" max="10034" width="11.42578125" style="1" customWidth="1"/>
    <col min="10035" max="10035" width="9.5703125" style="1" customWidth="1"/>
    <col min="10036" max="10036" width="10.28515625" style="1" customWidth="1"/>
    <col min="10037" max="10037" width="11.42578125" style="1" customWidth="1"/>
    <col min="10038" max="10038" width="10.85546875" style="1" customWidth="1"/>
    <col min="10039" max="10039" width="43.42578125" style="1" customWidth="1"/>
    <col min="10040" max="10256" width="9.140625" style="1"/>
    <col min="10257" max="10257" width="34.5703125" style="1" customWidth="1"/>
    <col min="10258" max="10258" width="13.28515625" style="1" customWidth="1"/>
    <col min="10259" max="10259" width="14.28515625" style="1" customWidth="1"/>
    <col min="10260" max="10260" width="13.5703125" style="1" customWidth="1"/>
    <col min="10261" max="10261" width="9.28515625" style="1" customWidth="1"/>
    <col min="10262" max="10262" width="10.5703125" style="1" customWidth="1"/>
    <col min="10263" max="10263" width="8.42578125" style="1" customWidth="1"/>
    <col min="10264" max="10264" width="8.85546875" style="1" customWidth="1"/>
    <col min="10265" max="10265" width="8.7109375" style="1" customWidth="1"/>
    <col min="10266" max="10266" width="9.42578125" style="1" customWidth="1"/>
    <col min="10267" max="10267" width="8" style="1" customWidth="1"/>
    <col min="10268" max="10268" width="9" style="1" customWidth="1"/>
    <col min="10269" max="10269" width="8.85546875" style="1" customWidth="1"/>
    <col min="10270" max="10270" width="11.140625" style="1" customWidth="1"/>
    <col min="10271" max="10271" width="9.28515625" style="1" customWidth="1"/>
    <col min="10272" max="10272" width="9.5703125" style="1" customWidth="1"/>
    <col min="10273" max="10273" width="9.7109375" style="1" customWidth="1"/>
    <col min="10274" max="10274" width="11.28515625" style="1" customWidth="1"/>
    <col min="10275" max="10277" width="9.28515625" style="1" customWidth="1"/>
    <col min="10278" max="10278" width="11.28515625" style="1" customWidth="1"/>
    <col min="10279" max="10279" width="9" style="1" customWidth="1"/>
    <col min="10280" max="10281" width="9.7109375" style="1" customWidth="1"/>
    <col min="10282" max="10282" width="11.140625" style="1" customWidth="1"/>
    <col min="10283" max="10283" width="9.5703125" style="1" customWidth="1"/>
    <col min="10284" max="10284" width="9.28515625" style="1" customWidth="1"/>
    <col min="10285" max="10285" width="8.85546875" style="1" customWidth="1"/>
    <col min="10286" max="10286" width="11.140625" style="1" customWidth="1"/>
    <col min="10287" max="10287" width="8.85546875" style="1" customWidth="1"/>
    <col min="10288" max="10288" width="9.5703125" style="1" customWidth="1"/>
    <col min="10289" max="10289" width="9.28515625" style="1" customWidth="1"/>
    <col min="10290" max="10290" width="11.42578125" style="1" customWidth="1"/>
    <col min="10291" max="10291" width="9.5703125" style="1" customWidth="1"/>
    <col min="10292" max="10292" width="10.28515625" style="1" customWidth="1"/>
    <col min="10293" max="10293" width="11.42578125" style="1" customWidth="1"/>
    <col min="10294" max="10294" width="10.85546875" style="1" customWidth="1"/>
    <col min="10295" max="10295" width="43.42578125" style="1" customWidth="1"/>
    <col min="10296" max="10512" width="9.140625" style="1"/>
    <col min="10513" max="10513" width="34.5703125" style="1" customWidth="1"/>
    <col min="10514" max="10514" width="13.28515625" style="1" customWidth="1"/>
    <col min="10515" max="10515" width="14.28515625" style="1" customWidth="1"/>
    <col min="10516" max="10516" width="13.5703125" style="1" customWidth="1"/>
    <col min="10517" max="10517" width="9.28515625" style="1" customWidth="1"/>
    <col min="10518" max="10518" width="10.5703125" style="1" customWidth="1"/>
    <col min="10519" max="10519" width="8.42578125" style="1" customWidth="1"/>
    <col min="10520" max="10520" width="8.85546875" style="1" customWidth="1"/>
    <col min="10521" max="10521" width="8.7109375" style="1" customWidth="1"/>
    <col min="10522" max="10522" width="9.42578125" style="1" customWidth="1"/>
    <col min="10523" max="10523" width="8" style="1" customWidth="1"/>
    <col min="10524" max="10524" width="9" style="1" customWidth="1"/>
    <col min="10525" max="10525" width="8.85546875" style="1" customWidth="1"/>
    <col min="10526" max="10526" width="11.140625" style="1" customWidth="1"/>
    <col min="10527" max="10527" width="9.28515625" style="1" customWidth="1"/>
    <col min="10528" max="10528" width="9.5703125" style="1" customWidth="1"/>
    <col min="10529" max="10529" width="9.7109375" style="1" customWidth="1"/>
    <col min="10530" max="10530" width="11.28515625" style="1" customWidth="1"/>
    <col min="10531" max="10533" width="9.28515625" style="1" customWidth="1"/>
    <col min="10534" max="10534" width="11.28515625" style="1" customWidth="1"/>
    <col min="10535" max="10535" width="9" style="1" customWidth="1"/>
    <col min="10536" max="10537" width="9.7109375" style="1" customWidth="1"/>
    <col min="10538" max="10538" width="11.140625" style="1" customWidth="1"/>
    <col min="10539" max="10539" width="9.5703125" style="1" customWidth="1"/>
    <col min="10540" max="10540" width="9.28515625" style="1" customWidth="1"/>
    <col min="10541" max="10541" width="8.85546875" style="1" customWidth="1"/>
    <col min="10542" max="10542" width="11.140625" style="1" customWidth="1"/>
    <col min="10543" max="10543" width="8.85546875" style="1" customWidth="1"/>
    <col min="10544" max="10544" width="9.5703125" style="1" customWidth="1"/>
    <col min="10545" max="10545" width="9.28515625" style="1" customWidth="1"/>
    <col min="10546" max="10546" width="11.42578125" style="1" customWidth="1"/>
    <col min="10547" max="10547" width="9.5703125" style="1" customWidth="1"/>
    <col min="10548" max="10548" width="10.28515625" style="1" customWidth="1"/>
    <col min="10549" max="10549" width="11.42578125" style="1" customWidth="1"/>
    <col min="10550" max="10550" width="10.85546875" style="1" customWidth="1"/>
    <col min="10551" max="10551" width="43.42578125" style="1" customWidth="1"/>
    <col min="10552" max="10768" width="9.140625" style="1"/>
    <col min="10769" max="10769" width="34.5703125" style="1" customWidth="1"/>
    <col min="10770" max="10770" width="13.28515625" style="1" customWidth="1"/>
    <col min="10771" max="10771" width="14.28515625" style="1" customWidth="1"/>
    <col min="10772" max="10772" width="13.5703125" style="1" customWidth="1"/>
    <col min="10773" max="10773" width="9.28515625" style="1" customWidth="1"/>
    <col min="10774" max="10774" width="10.5703125" style="1" customWidth="1"/>
    <col min="10775" max="10775" width="8.42578125" style="1" customWidth="1"/>
    <col min="10776" max="10776" width="8.85546875" style="1" customWidth="1"/>
    <col min="10777" max="10777" width="8.7109375" style="1" customWidth="1"/>
    <col min="10778" max="10778" width="9.42578125" style="1" customWidth="1"/>
    <col min="10779" max="10779" width="8" style="1" customWidth="1"/>
    <col min="10780" max="10780" width="9" style="1" customWidth="1"/>
    <col min="10781" max="10781" width="8.85546875" style="1" customWidth="1"/>
    <col min="10782" max="10782" width="11.140625" style="1" customWidth="1"/>
    <col min="10783" max="10783" width="9.28515625" style="1" customWidth="1"/>
    <col min="10784" max="10784" width="9.5703125" style="1" customWidth="1"/>
    <col min="10785" max="10785" width="9.7109375" style="1" customWidth="1"/>
    <col min="10786" max="10786" width="11.28515625" style="1" customWidth="1"/>
    <col min="10787" max="10789" width="9.28515625" style="1" customWidth="1"/>
    <col min="10790" max="10790" width="11.28515625" style="1" customWidth="1"/>
    <col min="10791" max="10791" width="9" style="1" customWidth="1"/>
    <col min="10792" max="10793" width="9.7109375" style="1" customWidth="1"/>
    <col min="10794" max="10794" width="11.140625" style="1" customWidth="1"/>
    <col min="10795" max="10795" width="9.5703125" style="1" customWidth="1"/>
    <col min="10796" max="10796" width="9.28515625" style="1" customWidth="1"/>
    <col min="10797" max="10797" width="8.85546875" style="1" customWidth="1"/>
    <col min="10798" max="10798" width="11.140625" style="1" customWidth="1"/>
    <col min="10799" max="10799" width="8.85546875" style="1" customWidth="1"/>
    <col min="10800" max="10800" width="9.5703125" style="1" customWidth="1"/>
    <col min="10801" max="10801" width="9.28515625" style="1" customWidth="1"/>
    <col min="10802" max="10802" width="11.42578125" style="1" customWidth="1"/>
    <col min="10803" max="10803" width="9.5703125" style="1" customWidth="1"/>
    <col min="10804" max="10804" width="10.28515625" style="1" customWidth="1"/>
    <col min="10805" max="10805" width="11.42578125" style="1" customWidth="1"/>
    <col min="10806" max="10806" width="10.85546875" style="1" customWidth="1"/>
    <col min="10807" max="10807" width="43.42578125" style="1" customWidth="1"/>
    <col min="10808" max="11024" width="9.140625" style="1"/>
    <col min="11025" max="11025" width="34.5703125" style="1" customWidth="1"/>
    <col min="11026" max="11026" width="13.28515625" style="1" customWidth="1"/>
    <col min="11027" max="11027" width="14.28515625" style="1" customWidth="1"/>
    <col min="11028" max="11028" width="13.5703125" style="1" customWidth="1"/>
    <col min="11029" max="11029" width="9.28515625" style="1" customWidth="1"/>
    <col min="11030" max="11030" width="10.5703125" style="1" customWidth="1"/>
    <col min="11031" max="11031" width="8.42578125" style="1" customWidth="1"/>
    <col min="11032" max="11032" width="8.85546875" style="1" customWidth="1"/>
    <col min="11033" max="11033" width="8.7109375" style="1" customWidth="1"/>
    <col min="11034" max="11034" width="9.42578125" style="1" customWidth="1"/>
    <col min="11035" max="11035" width="8" style="1" customWidth="1"/>
    <col min="11036" max="11036" width="9" style="1" customWidth="1"/>
    <col min="11037" max="11037" width="8.85546875" style="1" customWidth="1"/>
    <col min="11038" max="11038" width="11.140625" style="1" customWidth="1"/>
    <col min="11039" max="11039" width="9.28515625" style="1" customWidth="1"/>
    <col min="11040" max="11040" width="9.5703125" style="1" customWidth="1"/>
    <col min="11041" max="11041" width="9.7109375" style="1" customWidth="1"/>
    <col min="11042" max="11042" width="11.28515625" style="1" customWidth="1"/>
    <col min="11043" max="11045" width="9.28515625" style="1" customWidth="1"/>
    <col min="11046" max="11046" width="11.28515625" style="1" customWidth="1"/>
    <col min="11047" max="11047" width="9" style="1" customWidth="1"/>
    <col min="11048" max="11049" width="9.7109375" style="1" customWidth="1"/>
    <col min="11050" max="11050" width="11.140625" style="1" customWidth="1"/>
    <col min="11051" max="11051" width="9.5703125" style="1" customWidth="1"/>
    <col min="11052" max="11052" width="9.28515625" style="1" customWidth="1"/>
    <col min="11053" max="11053" width="8.85546875" style="1" customWidth="1"/>
    <col min="11054" max="11054" width="11.140625" style="1" customWidth="1"/>
    <col min="11055" max="11055" width="8.85546875" style="1" customWidth="1"/>
    <col min="11056" max="11056" width="9.5703125" style="1" customWidth="1"/>
    <col min="11057" max="11057" width="9.28515625" style="1" customWidth="1"/>
    <col min="11058" max="11058" width="11.42578125" style="1" customWidth="1"/>
    <col min="11059" max="11059" width="9.5703125" style="1" customWidth="1"/>
    <col min="11060" max="11060" width="10.28515625" style="1" customWidth="1"/>
    <col min="11061" max="11061" width="11.42578125" style="1" customWidth="1"/>
    <col min="11062" max="11062" width="10.85546875" style="1" customWidth="1"/>
    <col min="11063" max="11063" width="43.42578125" style="1" customWidth="1"/>
    <col min="11064" max="11280" width="9.140625" style="1"/>
    <col min="11281" max="11281" width="34.5703125" style="1" customWidth="1"/>
    <col min="11282" max="11282" width="13.28515625" style="1" customWidth="1"/>
    <col min="11283" max="11283" width="14.28515625" style="1" customWidth="1"/>
    <col min="11284" max="11284" width="13.5703125" style="1" customWidth="1"/>
    <col min="11285" max="11285" width="9.28515625" style="1" customWidth="1"/>
    <col min="11286" max="11286" width="10.5703125" style="1" customWidth="1"/>
    <col min="11287" max="11287" width="8.42578125" style="1" customWidth="1"/>
    <col min="11288" max="11288" width="8.85546875" style="1" customWidth="1"/>
    <col min="11289" max="11289" width="8.7109375" style="1" customWidth="1"/>
    <col min="11290" max="11290" width="9.42578125" style="1" customWidth="1"/>
    <col min="11291" max="11291" width="8" style="1" customWidth="1"/>
    <col min="11292" max="11292" width="9" style="1" customWidth="1"/>
    <col min="11293" max="11293" width="8.85546875" style="1" customWidth="1"/>
    <col min="11294" max="11294" width="11.140625" style="1" customWidth="1"/>
    <col min="11295" max="11295" width="9.28515625" style="1" customWidth="1"/>
    <col min="11296" max="11296" width="9.5703125" style="1" customWidth="1"/>
    <col min="11297" max="11297" width="9.7109375" style="1" customWidth="1"/>
    <col min="11298" max="11298" width="11.28515625" style="1" customWidth="1"/>
    <col min="11299" max="11301" width="9.28515625" style="1" customWidth="1"/>
    <col min="11302" max="11302" width="11.28515625" style="1" customWidth="1"/>
    <col min="11303" max="11303" width="9" style="1" customWidth="1"/>
    <col min="11304" max="11305" width="9.7109375" style="1" customWidth="1"/>
    <col min="11306" max="11306" width="11.140625" style="1" customWidth="1"/>
    <col min="11307" max="11307" width="9.5703125" style="1" customWidth="1"/>
    <col min="11308" max="11308" width="9.28515625" style="1" customWidth="1"/>
    <col min="11309" max="11309" width="8.85546875" style="1" customWidth="1"/>
    <col min="11310" max="11310" width="11.140625" style="1" customWidth="1"/>
    <col min="11311" max="11311" width="8.85546875" style="1" customWidth="1"/>
    <col min="11312" max="11312" width="9.5703125" style="1" customWidth="1"/>
    <col min="11313" max="11313" width="9.28515625" style="1" customWidth="1"/>
    <col min="11314" max="11314" width="11.42578125" style="1" customWidth="1"/>
    <col min="11315" max="11315" width="9.5703125" style="1" customWidth="1"/>
    <col min="11316" max="11316" width="10.28515625" style="1" customWidth="1"/>
    <col min="11317" max="11317" width="11.42578125" style="1" customWidth="1"/>
    <col min="11318" max="11318" width="10.85546875" style="1" customWidth="1"/>
    <col min="11319" max="11319" width="43.42578125" style="1" customWidth="1"/>
    <col min="11320" max="11536" width="9.140625" style="1"/>
    <col min="11537" max="11537" width="34.5703125" style="1" customWidth="1"/>
    <col min="11538" max="11538" width="13.28515625" style="1" customWidth="1"/>
    <col min="11539" max="11539" width="14.28515625" style="1" customWidth="1"/>
    <col min="11540" max="11540" width="13.5703125" style="1" customWidth="1"/>
    <col min="11541" max="11541" width="9.28515625" style="1" customWidth="1"/>
    <col min="11542" max="11542" width="10.5703125" style="1" customWidth="1"/>
    <col min="11543" max="11543" width="8.42578125" style="1" customWidth="1"/>
    <col min="11544" max="11544" width="8.85546875" style="1" customWidth="1"/>
    <col min="11545" max="11545" width="8.7109375" style="1" customWidth="1"/>
    <col min="11546" max="11546" width="9.42578125" style="1" customWidth="1"/>
    <col min="11547" max="11547" width="8" style="1" customWidth="1"/>
    <col min="11548" max="11548" width="9" style="1" customWidth="1"/>
    <col min="11549" max="11549" width="8.85546875" style="1" customWidth="1"/>
    <col min="11550" max="11550" width="11.140625" style="1" customWidth="1"/>
    <col min="11551" max="11551" width="9.28515625" style="1" customWidth="1"/>
    <col min="11552" max="11552" width="9.5703125" style="1" customWidth="1"/>
    <col min="11553" max="11553" width="9.7109375" style="1" customWidth="1"/>
    <col min="11554" max="11554" width="11.28515625" style="1" customWidth="1"/>
    <col min="11555" max="11557" width="9.28515625" style="1" customWidth="1"/>
    <col min="11558" max="11558" width="11.28515625" style="1" customWidth="1"/>
    <col min="11559" max="11559" width="9" style="1" customWidth="1"/>
    <col min="11560" max="11561" width="9.7109375" style="1" customWidth="1"/>
    <col min="11562" max="11562" width="11.140625" style="1" customWidth="1"/>
    <col min="11563" max="11563" width="9.5703125" style="1" customWidth="1"/>
    <col min="11564" max="11564" width="9.28515625" style="1" customWidth="1"/>
    <col min="11565" max="11565" width="8.85546875" style="1" customWidth="1"/>
    <col min="11566" max="11566" width="11.140625" style="1" customWidth="1"/>
    <col min="11567" max="11567" width="8.85546875" style="1" customWidth="1"/>
    <col min="11568" max="11568" width="9.5703125" style="1" customWidth="1"/>
    <col min="11569" max="11569" width="9.28515625" style="1" customWidth="1"/>
    <col min="11570" max="11570" width="11.42578125" style="1" customWidth="1"/>
    <col min="11571" max="11571" width="9.5703125" style="1" customWidth="1"/>
    <col min="11572" max="11572" width="10.28515625" style="1" customWidth="1"/>
    <col min="11573" max="11573" width="11.42578125" style="1" customWidth="1"/>
    <col min="11574" max="11574" width="10.85546875" style="1" customWidth="1"/>
    <col min="11575" max="11575" width="43.42578125" style="1" customWidth="1"/>
    <col min="11576" max="11792" width="9.140625" style="1"/>
    <col min="11793" max="11793" width="34.5703125" style="1" customWidth="1"/>
    <col min="11794" max="11794" width="13.28515625" style="1" customWidth="1"/>
    <col min="11795" max="11795" width="14.28515625" style="1" customWidth="1"/>
    <col min="11796" max="11796" width="13.5703125" style="1" customWidth="1"/>
    <col min="11797" max="11797" width="9.28515625" style="1" customWidth="1"/>
    <col min="11798" max="11798" width="10.5703125" style="1" customWidth="1"/>
    <col min="11799" max="11799" width="8.42578125" style="1" customWidth="1"/>
    <col min="11800" max="11800" width="8.85546875" style="1" customWidth="1"/>
    <col min="11801" max="11801" width="8.7109375" style="1" customWidth="1"/>
    <col min="11802" max="11802" width="9.42578125" style="1" customWidth="1"/>
    <col min="11803" max="11803" width="8" style="1" customWidth="1"/>
    <col min="11804" max="11804" width="9" style="1" customWidth="1"/>
    <col min="11805" max="11805" width="8.85546875" style="1" customWidth="1"/>
    <col min="11806" max="11806" width="11.140625" style="1" customWidth="1"/>
    <col min="11807" max="11807" width="9.28515625" style="1" customWidth="1"/>
    <col min="11808" max="11808" width="9.5703125" style="1" customWidth="1"/>
    <col min="11809" max="11809" width="9.7109375" style="1" customWidth="1"/>
    <col min="11810" max="11810" width="11.28515625" style="1" customWidth="1"/>
    <col min="11811" max="11813" width="9.28515625" style="1" customWidth="1"/>
    <col min="11814" max="11814" width="11.28515625" style="1" customWidth="1"/>
    <col min="11815" max="11815" width="9" style="1" customWidth="1"/>
    <col min="11816" max="11817" width="9.7109375" style="1" customWidth="1"/>
    <col min="11818" max="11818" width="11.140625" style="1" customWidth="1"/>
    <col min="11819" max="11819" width="9.5703125" style="1" customWidth="1"/>
    <col min="11820" max="11820" width="9.28515625" style="1" customWidth="1"/>
    <col min="11821" max="11821" width="8.85546875" style="1" customWidth="1"/>
    <col min="11822" max="11822" width="11.140625" style="1" customWidth="1"/>
    <col min="11823" max="11823" width="8.85546875" style="1" customWidth="1"/>
    <col min="11824" max="11824" width="9.5703125" style="1" customWidth="1"/>
    <col min="11825" max="11825" width="9.28515625" style="1" customWidth="1"/>
    <col min="11826" max="11826" width="11.42578125" style="1" customWidth="1"/>
    <col min="11827" max="11827" width="9.5703125" style="1" customWidth="1"/>
    <col min="11828" max="11828" width="10.28515625" style="1" customWidth="1"/>
    <col min="11829" max="11829" width="11.42578125" style="1" customWidth="1"/>
    <col min="11830" max="11830" width="10.85546875" style="1" customWidth="1"/>
    <col min="11831" max="11831" width="43.42578125" style="1" customWidth="1"/>
    <col min="11832" max="12048" width="9.140625" style="1"/>
    <col min="12049" max="12049" width="34.5703125" style="1" customWidth="1"/>
    <col min="12050" max="12050" width="13.28515625" style="1" customWidth="1"/>
    <col min="12051" max="12051" width="14.28515625" style="1" customWidth="1"/>
    <col min="12052" max="12052" width="13.5703125" style="1" customWidth="1"/>
    <col min="12053" max="12053" width="9.28515625" style="1" customWidth="1"/>
    <col min="12054" max="12054" width="10.5703125" style="1" customWidth="1"/>
    <col min="12055" max="12055" width="8.42578125" style="1" customWidth="1"/>
    <col min="12056" max="12056" width="8.85546875" style="1" customWidth="1"/>
    <col min="12057" max="12057" width="8.7109375" style="1" customWidth="1"/>
    <col min="12058" max="12058" width="9.42578125" style="1" customWidth="1"/>
    <col min="12059" max="12059" width="8" style="1" customWidth="1"/>
    <col min="12060" max="12060" width="9" style="1" customWidth="1"/>
    <col min="12061" max="12061" width="8.85546875" style="1" customWidth="1"/>
    <col min="12062" max="12062" width="11.140625" style="1" customWidth="1"/>
    <col min="12063" max="12063" width="9.28515625" style="1" customWidth="1"/>
    <col min="12064" max="12064" width="9.5703125" style="1" customWidth="1"/>
    <col min="12065" max="12065" width="9.7109375" style="1" customWidth="1"/>
    <col min="12066" max="12066" width="11.28515625" style="1" customWidth="1"/>
    <col min="12067" max="12069" width="9.28515625" style="1" customWidth="1"/>
    <col min="12070" max="12070" width="11.28515625" style="1" customWidth="1"/>
    <col min="12071" max="12071" width="9" style="1" customWidth="1"/>
    <col min="12072" max="12073" width="9.7109375" style="1" customWidth="1"/>
    <col min="12074" max="12074" width="11.140625" style="1" customWidth="1"/>
    <col min="12075" max="12075" width="9.5703125" style="1" customWidth="1"/>
    <col min="12076" max="12076" width="9.28515625" style="1" customWidth="1"/>
    <col min="12077" max="12077" width="8.85546875" style="1" customWidth="1"/>
    <col min="12078" max="12078" width="11.140625" style="1" customWidth="1"/>
    <col min="12079" max="12079" width="8.85546875" style="1" customWidth="1"/>
    <col min="12080" max="12080" width="9.5703125" style="1" customWidth="1"/>
    <col min="12081" max="12081" width="9.28515625" style="1" customWidth="1"/>
    <col min="12082" max="12082" width="11.42578125" style="1" customWidth="1"/>
    <col min="12083" max="12083" width="9.5703125" style="1" customWidth="1"/>
    <col min="12084" max="12084" width="10.28515625" style="1" customWidth="1"/>
    <col min="12085" max="12085" width="11.42578125" style="1" customWidth="1"/>
    <col min="12086" max="12086" width="10.85546875" style="1" customWidth="1"/>
    <col min="12087" max="12087" width="43.42578125" style="1" customWidth="1"/>
    <col min="12088" max="12304" width="9.140625" style="1"/>
    <col min="12305" max="12305" width="34.5703125" style="1" customWidth="1"/>
    <col min="12306" max="12306" width="13.28515625" style="1" customWidth="1"/>
    <col min="12307" max="12307" width="14.28515625" style="1" customWidth="1"/>
    <col min="12308" max="12308" width="13.5703125" style="1" customWidth="1"/>
    <col min="12309" max="12309" width="9.28515625" style="1" customWidth="1"/>
    <col min="12310" max="12310" width="10.5703125" style="1" customWidth="1"/>
    <col min="12311" max="12311" width="8.42578125" style="1" customWidth="1"/>
    <col min="12312" max="12312" width="8.85546875" style="1" customWidth="1"/>
    <col min="12313" max="12313" width="8.7109375" style="1" customWidth="1"/>
    <col min="12314" max="12314" width="9.42578125" style="1" customWidth="1"/>
    <col min="12315" max="12315" width="8" style="1" customWidth="1"/>
    <col min="12316" max="12316" width="9" style="1" customWidth="1"/>
    <col min="12317" max="12317" width="8.85546875" style="1" customWidth="1"/>
    <col min="12318" max="12318" width="11.140625" style="1" customWidth="1"/>
    <col min="12319" max="12319" width="9.28515625" style="1" customWidth="1"/>
    <col min="12320" max="12320" width="9.5703125" style="1" customWidth="1"/>
    <col min="12321" max="12321" width="9.7109375" style="1" customWidth="1"/>
    <col min="12322" max="12322" width="11.28515625" style="1" customWidth="1"/>
    <col min="12323" max="12325" width="9.28515625" style="1" customWidth="1"/>
    <col min="12326" max="12326" width="11.28515625" style="1" customWidth="1"/>
    <col min="12327" max="12327" width="9" style="1" customWidth="1"/>
    <col min="12328" max="12329" width="9.7109375" style="1" customWidth="1"/>
    <col min="12330" max="12330" width="11.140625" style="1" customWidth="1"/>
    <col min="12331" max="12331" width="9.5703125" style="1" customWidth="1"/>
    <col min="12332" max="12332" width="9.28515625" style="1" customWidth="1"/>
    <col min="12333" max="12333" width="8.85546875" style="1" customWidth="1"/>
    <col min="12334" max="12334" width="11.140625" style="1" customWidth="1"/>
    <col min="12335" max="12335" width="8.85546875" style="1" customWidth="1"/>
    <col min="12336" max="12336" width="9.5703125" style="1" customWidth="1"/>
    <col min="12337" max="12337" width="9.28515625" style="1" customWidth="1"/>
    <col min="12338" max="12338" width="11.42578125" style="1" customWidth="1"/>
    <col min="12339" max="12339" width="9.5703125" style="1" customWidth="1"/>
    <col min="12340" max="12340" width="10.28515625" style="1" customWidth="1"/>
    <col min="12341" max="12341" width="11.42578125" style="1" customWidth="1"/>
    <col min="12342" max="12342" width="10.85546875" style="1" customWidth="1"/>
    <col min="12343" max="12343" width="43.42578125" style="1" customWidth="1"/>
    <col min="12344" max="12560" width="9.140625" style="1"/>
    <col min="12561" max="12561" width="34.5703125" style="1" customWidth="1"/>
    <col min="12562" max="12562" width="13.28515625" style="1" customWidth="1"/>
    <col min="12563" max="12563" width="14.28515625" style="1" customWidth="1"/>
    <col min="12564" max="12564" width="13.5703125" style="1" customWidth="1"/>
    <col min="12565" max="12565" width="9.28515625" style="1" customWidth="1"/>
    <col min="12566" max="12566" width="10.5703125" style="1" customWidth="1"/>
    <col min="12567" max="12567" width="8.42578125" style="1" customWidth="1"/>
    <col min="12568" max="12568" width="8.85546875" style="1" customWidth="1"/>
    <col min="12569" max="12569" width="8.7109375" style="1" customWidth="1"/>
    <col min="12570" max="12570" width="9.42578125" style="1" customWidth="1"/>
    <col min="12571" max="12571" width="8" style="1" customWidth="1"/>
    <col min="12572" max="12572" width="9" style="1" customWidth="1"/>
    <col min="12573" max="12573" width="8.85546875" style="1" customWidth="1"/>
    <col min="12574" max="12574" width="11.140625" style="1" customWidth="1"/>
    <col min="12575" max="12575" width="9.28515625" style="1" customWidth="1"/>
    <col min="12576" max="12576" width="9.5703125" style="1" customWidth="1"/>
    <col min="12577" max="12577" width="9.7109375" style="1" customWidth="1"/>
    <col min="12578" max="12578" width="11.28515625" style="1" customWidth="1"/>
    <col min="12579" max="12581" width="9.28515625" style="1" customWidth="1"/>
    <col min="12582" max="12582" width="11.28515625" style="1" customWidth="1"/>
    <col min="12583" max="12583" width="9" style="1" customWidth="1"/>
    <col min="12584" max="12585" width="9.7109375" style="1" customWidth="1"/>
    <col min="12586" max="12586" width="11.140625" style="1" customWidth="1"/>
    <col min="12587" max="12587" width="9.5703125" style="1" customWidth="1"/>
    <col min="12588" max="12588" width="9.28515625" style="1" customWidth="1"/>
    <col min="12589" max="12589" width="8.85546875" style="1" customWidth="1"/>
    <col min="12590" max="12590" width="11.140625" style="1" customWidth="1"/>
    <col min="12591" max="12591" width="8.85546875" style="1" customWidth="1"/>
    <col min="12592" max="12592" width="9.5703125" style="1" customWidth="1"/>
    <col min="12593" max="12593" width="9.28515625" style="1" customWidth="1"/>
    <col min="12594" max="12594" width="11.42578125" style="1" customWidth="1"/>
    <col min="12595" max="12595" width="9.5703125" style="1" customWidth="1"/>
    <col min="12596" max="12596" width="10.28515625" style="1" customWidth="1"/>
    <col min="12597" max="12597" width="11.42578125" style="1" customWidth="1"/>
    <col min="12598" max="12598" width="10.85546875" style="1" customWidth="1"/>
    <col min="12599" max="12599" width="43.42578125" style="1" customWidth="1"/>
    <col min="12600" max="12816" width="9.140625" style="1"/>
    <col min="12817" max="12817" width="34.5703125" style="1" customWidth="1"/>
    <col min="12818" max="12818" width="13.28515625" style="1" customWidth="1"/>
    <col min="12819" max="12819" width="14.28515625" style="1" customWidth="1"/>
    <col min="12820" max="12820" width="13.5703125" style="1" customWidth="1"/>
    <col min="12821" max="12821" width="9.28515625" style="1" customWidth="1"/>
    <col min="12822" max="12822" width="10.5703125" style="1" customWidth="1"/>
    <col min="12823" max="12823" width="8.42578125" style="1" customWidth="1"/>
    <col min="12824" max="12824" width="8.85546875" style="1" customWidth="1"/>
    <col min="12825" max="12825" width="8.7109375" style="1" customWidth="1"/>
    <col min="12826" max="12826" width="9.42578125" style="1" customWidth="1"/>
    <col min="12827" max="12827" width="8" style="1" customWidth="1"/>
    <col min="12828" max="12828" width="9" style="1" customWidth="1"/>
    <col min="12829" max="12829" width="8.85546875" style="1" customWidth="1"/>
    <col min="12830" max="12830" width="11.140625" style="1" customWidth="1"/>
    <col min="12831" max="12831" width="9.28515625" style="1" customWidth="1"/>
    <col min="12832" max="12832" width="9.5703125" style="1" customWidth="1"/>
    <col min="12833" max="12833" width="9.7109375" style="1" customWidth="1"/>
    <col min="12834" max="12834" width="11.28515625" style="1" customWidth="1"/>
    <col min="12835" max="12837" width="9.28515625" style="1" customWidth="1"/>
    <col min="12838" max="12838" width="11.28515625" style="1" customWidth="1"/>
    <col min="12839" max="12839" width="9" style="1" customWidth="1"/>
    <col min="12840" max="12841" width="9.7109375" style="1" customWidth="1"/>
    <col min="12842" max="12842" width="11.140625" style="1" customWidth="1"/>
    <col min="12843" max="12843" width="9.5703125" style="1" customWidth="1"/>
    <col min="12844" max="12844" width="9.28515625" style="1" customWidth="1"/>
    <col min="12845" max="12845" width="8.85546875" style="1" customWidth="1"/>
    <col min="12846" max="12846" width="11.140625" style="1" customWidth="1"/>
    <col min="12847" max="12847" width="8.85546875" style="1" customWidth="1"/>
    <col min="12848" max="12848" width="9.5703125" style="1" customWidth="1"/>
    <col min="12849" max="12849" width="9.28515625" style="1" customWidth="1"/>
    <col min="12850" max="12850" width="11.42578125" style="1" customWidth="1"/>
    <col min="12851" max="12851" width="9.5703125" style="1" customWidth="1"/>
    <col min="12852" max="12852" width="10.28515625" style="1" customWidth="1"/>
    <col min="12853" max="12853" width="11.42578125" style="1" customWidth="1"/>
    <col min="12854" max="12854" width="10.85546875" style="1" customWidth="1"/>
    <col min="12855" max="12855" width="43.42578125" style="1" customWidth="1"/>
    <col min="12856" max="13072" width="9.140625" style="1"/>
    <col min="13073" max="13073" width="34.5703125" style="1" customWidth="1"/>
    <col min="13074" max="13074" width="13.28515625" style="1" customWidth="1"/>
    <col min="13075" max="13075" width="14.28515625" style="1" customWidth="1"/>
    <col min="13076" max="13076" width="13.5703125" style="1" customWidth="1"/>
    <col min="13077" max="13077" width="9.28515625" style="1" customWidth="1"/>
    <col min="13078" max="13078" width="10.5703125" style="1" customWidth="1"/>
    <col min="13079" max="13079" width="8.42578125" style="1" customWidth="1"/>
    <col min="13080" max="13080" width="8.85546875" style="1" customWidth="1"/>
    <col min="13081" max="13081" width="8.7109375" style="1" customWidth="1"/>
    <col min="13082" max="13082" width="9.42578125" style="1" customWidth="1"/>
    <col min="13083" max="13083" width="8" style="1" customWidth="1"/>
    <col min="13084" max="13084" width="9" style="1" customWidth="1"/>
    <col min="13085" max="13085" width="8.85546875" style="1" customWidth="1"/>
    <col min="13086" max="13086" width="11.140625" style="1" customWidth="1"/>
    <col min="13087" max="13087" width="9.28515625" style="1" customWidth="1"/>
    <col min="13088" max="13088" width="9.5703125" style="1" customWidth="1"/>
    <col min="13089" max="13089" width="9.7109375" style="1" customWidth="1"/>
    <col min="13090" max="13090" width="11.28515625" style="1" customWidth="1"/>
    <col min="13091" max="13093" width="9.28515625" style="1" customWidth="1"/>
    <col min="13094" max="13094" width="11.28515625" style="1" customWidth="1"/>
    <col min="13095" max="13095" width="9" style="1" customWidth="1"/>
    <col min="13096" max="13097" width="9.7109375" style="1" customWidth="1"/>
    <col min="13098" max="13098" width="11.140625" style="1" customWidth="1"/>
    <col min="13099" max="13099" width="9.5703125" style="1" customWidth="1"/>
    <col min="13100" max="13100" width="9.28515625" style="1" customWidth="1"/>
    <col min="13101" max="13101" width="8.85546875" style="1" customWidth="1"/>
    <col min="13102" max="13102" width="11.140625" style="1" customWidth="1"/>
    <col min="13103" max="13103" width="8.85546875" style="1" customWidth="1"/>
    <col min="13104" max="13104" width="9.5703125" style="1" customWidth="1"/>
    <col min="13105" max="13105" width="9.28515625" style="1" customWidth="1"/>
    <col min="13106" max="13106" width="11.42578125" style="1" customWidth="1"/>
    <col min="13107" max="13107" width="9.5703125" style="1" customWidth="1"/>
    <col min="13108" max="13108" width="10.28515625" style="1" customWidth="1"/>
    <col min="13109" max="13109" width="11.42578125" style="1" customWidth="1"/>
    <col min="13110" max="13110" width="10.85546875" style="1" customWidth="1"/>
    <col min="13111" max="13111" width="43.42578125" style="1" customWidth="1"/>
    <col min="13112" max="13328" width="9.140625" style="1"/>
    <col min="13329" max="13329" width="34.5703125" style="1" customWidth="1"/>
    <col min="13330" max="13330" width="13.28515625" style="1" customWidth="1"/>
    <col min="13331" max="13331" width="14.28515625" style="1" customWidth="1"/>
    <col min="13332" max="13332" width="13.5703125" style="1" customWidth="1"/>
    <col min="13333" max="13333" width="9.28515625" style="1" customWidth="1"/>
    <col min="13334" max="13334" width="10.5703125" style="1" customWidth="1"/>
    <col min="13335" max="13335" width="8.42578125" style="1" customWidth="1"/>
    <col min="13336" max="13336" width="8.85546875" style="1" customWidth="1"/>
    <col min="13337" max="13337" width="8.7109375" style="1" customWidth="1"/>
    <col min="13338" max="13338" width="9.42578125" style="1" customWidth="1"/>
    <col min="13339" max="13339" width="8" style="1" customWidth="1"/>
    <col min="13340" max="13340" width="9" style="1" customWidth="1"/>
    <col min="13341" max="13341" width="8.85546875" style="1" customWidth="1"/>
    <col min="13342" max="13342" width="11.140625" style="1" customWidth="1"/>
    <col min="13343" max="13343" width="9.28515625" style="1" customWidth="1"/>
    <col min="13344" max="13344" width="9.5703125" style="1" customWidth="1"/>
    <col min="13345" max="13345" width="9.7109375" style="1" customWidth="1"/>
    <col min="13346" max="13346" width="11.28515625" style="1" customWidth="1"/>
    <col min="13347" max="13349" width="9.28515625" style="1" customWidth="1"/>
    <col min="13350" max="13350" width="11.28515625" style="1" customWidth="1"/>
    <col min="13351" max="13351" width="9" style="1" customWidth="1"/>
    <col min="13352" max="13353" width="9.7109375" style="1" customWidth="1"/>
    <col min="13354" max="13354" width="11.140625" style="1" customWidth="1"/>
    <col min="13355" max="13355" width="9.5703125" style="1" customWidth="1"/>
    <col min="13356" max="13356" width="9.28515625" style="1" customWidth="1"/>
    <col min="13357" max="13357" width="8.85546875" style="1" customWidth="1"/>
    <col min="13358" max="13358" width="11.140625" style="1" customWidth="1"/>
    <col min="13359" max="13359" width="8.85546875" style="1" customWidth="1"/>
    <col min="13360" max="13360" width="9.5703125" style="1" customWidth="1"/>
    <col min="13361" max="13361" width="9.28515625" style="1" customWidth="1"/>
    <col min="13362" max="13362" width="11.42578125" style="1" customWidth="1"/>
    <col min="13363" max="13363" width="9.5703125" style="1" customWidth="1"/>
    <col min="13364" max="13364" width="10.28515625" style="1" customWidth="1"/>
    <col min="13365" max="13365" width="11.42578125" style="1" customWidth="1"/>
    <col min="13366" max="13366" width="10.85546875" style="1" customWidth="1"/>
    <col min="13367" max="13367" width="43.42578125" style="1" customWidth="1"/>
    <col min="13368" max="13584" width="9.140625" style="1"/>
    <col min="13585" max="13585" width="34.5703125" style="1" customWidth="1"/>
    <col min="13586" max="13586" width="13.28515625" style="1" customWidth="1"/>
    <col min="13587" max="13587" width="14.28515625" style="1" customWidth="1"/>
    <col min="13588" max="13588" width="13.5703125" style="1" customWidth="1"/>
    <col min="13589" max="13589" width="9.28515625" style="1" customWidth="1"/>
    <col min="13590" max="13590" width="10.5703125" style="1" customWidth="1"/>
    <col min="13591" max="13591" width="8.42578125" style="1" customWidth="1"/>
    <col min="13592" max="13592" width="8.85546875" style="1" customWidth="1"/>
    <col min="13593" max="13593" width="8.7109375" style="1" customWidth="1"/>
    <col min="13594" max="13594" width="9.42578125" style="1" customWidth="1"/>
    <col min="13595" max="13595" width="8" style="1" customWidth="1"/>
    <col min="13596" max="13596" width="9" style="1" customWidth="1"/>
    <col min="13597" max="13597" width="8.85546875" style="1" customWidth="1"/>
    <col min="13598" max="13598" width="11.140625" style="1" customWidth="1"/>
    <col min="13599" max="13599" width="9.28515625" style="1" customWidth="1"/>
    <col min="13600" max="13600" width="9.5703125" style="1" customWidth="1"/>
    <col min="13601" max="13601" width="9.7109375" style="1" customWidth="1"/>
    <col min="13602" max="13602" width="11.28515625" style="1" customWidth="1"/>
    <col min="13603" max="13605" width="9.28515625" style="1" customWidth="1"/>
    <col min="13606" max="13606" width="11.28515625" style="1" customWidth="1"/>
    <col min="13607" max="13607" width="9" style="1" customWidth="1"/>
    <col min="13608" max="13609" width="9.7109375" style="1" customWidth="1"/>
    <col min="13610" max="13610" width="11.140625" style="1" customWidth="1"/>
    <col min="13611" max="13611" width="9.5703125" style="1" customWidth="1"/>
    <col min="13612" max="13612" width="9.28515625" style="1" customWidth="1"/>
    <col min="13613" max="13613" width="8.85546875" style="1" customWidth="1"/>
    <col min="13614" max="13614" width="11.140625" style="1" customWidth="1"/>
    <col min="13615" max="13615" width="8.85546875" style="1" customWidth="1"/>
    <col min="13616" max="13616" width="9.5703125" style="1" customWidth="1"/>
    <col min="13617" max="13617" width="9.28515625" style="1" customWidth="1"/>
    <col min="13618" max="13618" width="11.42578125" style="1" customWidth="1"/>
    <col min="13619" max="13619" width="9.5703125" style="1" customWidth="1"/>
    <col min="13620" max="13620" width="10.28515625" style="1" customWidth="1"/>
    <col min="13621" max="13621" width="11.42578125" style="1" customWidth="1"/>
    <col min="13622" max="13622" width="10.85546875" style="1" customWidth="1"/>
    <col min="13623" max="13623" width="43.42578125" style="1" customWidth="1"/>
    <col min="13624" max="13840" width="9.140625" style="1"/>
    <col min="13841" max="13841" width="34.5703125" style="1" customWidth="1"/>
    <col min="13842" max="13842" width="13.28515625" style="1" customWidth="1"/>
    <col min="13843" max="13843" width="14.28515625" style="1" customWidth="1"/>
    <col min="13844" max="13844" width="13.5703125" style="1" customWidth="1"/>
    <col min="13845" max="13845" width="9.28515625" style="1" customWidth="1"/>
    <col min="13846" max="13846" width="10.5703125" style="1" customWidth="1"/>
    <col min="13847" max="13847" width="8.42578125" style="1" customWidth="1"/>
    <col min="13848" max="13848" width="8.85546875" style="1" customWidth="1"/>
    <col min="13849" max="13849" width="8.7109375" style="1" customWidth="1"/>
    <col min="13850" max="13850" width="9.42578125" style="1" customWidth="1"/>
    <col min="13851" max="13851" width="8" style="1" customWidth="1"/>
    <col min="13852" max="13852" width="9" style="1" customWidth="1"/>
    <col min="13853" max="13853" width="8.85546875" style="1" customWidth="1"/>
    <col min="13854" max="13854" width="11.140625" style="1" customWidth="1"/>
    <col min="13855" max="13855" width="9.28515625" style="1" customWidth="1"/>
    <col min="13856" max="13856" width="9.5703125" style="1" customWidth="1"/>
    <col min="13857" max="13857" width="9.7109375" style="1" customWidth="1"/>
    <col min="13858" max="13858" width="11.28515625" style="1" customWidth="1"/>
    <col min="13859" max="13861" width="9.28515625" style="1" customWidth="1"/>
    <col min="13862" max="13862" width="11.28515625" style="1" customWidth="1"/>
    <col min="13863" max="13863" width="9" style="1" customWidth="1"/>
    <col min="13864" max="13865" width="9.7109375" style="1" customWidth="1"/>
    <col min="13866" max="13866" width="11.140625" style="1" customWidth="1"/>
    <col min="13867" max="13867" width="9.5703125" style="1" customWidth="1"/>
    <col min="13868" max="13868" width="9.28515625" style="1" customWidth="1"/>
    <col min="13869" max="13869" width="8.85546875" style="1" customWidth="1"/>
    <col min="13870" max="13870" width="11.140625" style="1" customWidth="1"/>
    <col min="13871" max="13871" width="8.85546875" style="1" customWidth="1"/>
    <col min="13872" max="13872" width="9.5703125" style="1" customWidth="1"/>
    <col min="13873" max="13873" width="9.28515625" style="1" customWidth="1"/>
    <col min="13874" max="13874" width="11.42578125" style="1" customWidth="1"/>
    <col min="13875" max="13875" width="9.5703125" style="1" customWidth="1"/>
    <col min="13876" max="13876" width="10.28515625" style="1" customWidth="1"/>
    <col min="13877" max="13877" width="11.42578125" style="1" customWidth="1"/>
    <col min="13878" max="13878" width="10.85546875" style="1" customWidth="1"/>
    <col min="13879" max="13879" width="43.42578125" style="1" customWidth="1"/>
    <col min="13880" max="14096" width="9.140625" style="1"/>
    <col min="14097" max="14097" width="34.5703125" style="1" customWidth="1"/>
    <col min="14098" max="14098" width="13.28515625" style="1" customWidth="1"/>
    <col min="14099" max="14099" width="14.28515625" style="1" customWidth="1"/>
    <col min="14100" max="14100" width="13.5703125" style="1" customWidth="1"/>
    <col min="14101" max="14101" width="9.28515625" style="1" customWidth="1"/>
    <col min="14102" max="14102" width="10.5703125" style="1" customWidth="1"/>
    <col min="14103" max="14103" width="8.42578125" style="1" customWidth="1"/>
    <col min="14104" max="14104" width="8.85546875" style="1" customWidth="1"/>
    <col min="14105" max="14105" width="8.7109375" style="1" customWidth="1"/>
    <col min="14106" max="14106" width="9.42578125" style="1" customWidth="1"/>
    <col min="14107" max="14107" width="8" style="1" customWidth="1"/>
    <col min="14108" max="14108" width="9" style="1" customWidth="1"/>
    <col min="14109" max="14109" width="8.85546875" style="1" customWidth="1"/>
    <col min="14110" max="14110" width="11.140625" style="1" customWidth="1"/>
    <col min="14111" max="14111" width="9.28515625" style="1" customWidth="1"/>
    <col min="14112" max="14112" width="9.5703125" style="1" customWidth="1"/>
    <col min="14113" max="14113" width="9.7109375" style="1" customWidth="1"/>
    <col min="14114" max="14114" width="11.28515625" style="1" customWidth="1"/>
    <col min="14115" max="14117" width="9.28515625" style="1" customWidth="1"/>
    <col min="14118" max="14118" width="11.28515625" style="1" customWidth="1"/>
    <col min="14119" max="14119" width="9" style="1" customWidth="1"/>
    <col min="14120" max="14121" width="9.7109375" style="1" customWidth="1"/>
    <col min="14122" max="14122" width="11.140625" style="1" customWidth="1"/>
    <col min="14123" max="14123" width="9.5703125" style="1" customWidth="1"/>
    <col min="14124" max="14124" width="9.28515625" style="1" customWidth="1"/>
    <col min="14125" max="14125" width="8.85546875" style="1" customWidth="1"/>
    <col min="14126" max="14126" width="11.140625" style="1" customWidth="1"/>
    <col min="14127" max="14127" width="8.85546875" style="1" customWidth="1"/>
    <col min="14128" max="14128" width="9.5703125" style="1" customWidth="1"/>
    <col min="14129" max="14129" width="9.28515625" style="1" customWidth="1"/>
    <col min="14130" max="14130" width="11.42578125" style="1" customWidth="1"/>
    <col min="14131" max="14131" width="9.5703125" style="1" customWidth="1"/>
    <col min="14132" max="14132" width="10.28515625" style="1" customWidth="1"/>
    <col min="14133" max="14133" width="11.42578125" style="1" customWidth="1"/>
    <col min="14134" max="14134" width="10.85546875" style="1" customWidth="1"/>
    <col min="14135" max="14135" width="43.42578125" style="1" customWidth="1"/>
    <col min="14136" max="14352" width="9.140625" style="1"/>
    <col min="14353" max="14353" width="34.5703125" style="1" customWidth="1"/>
    <col min="14354" max="14354" width="13.28515625" style="1" customWidth="1"/>
    <col min="14355" max="14355" width="14.28515625" style="1" customWidth="1"/>
    <col min="14356" max="14356" width="13.5703125" style="1" customWidth="1"/>
    <col min="14357" max="14357" width="9.28515625" style="1" customWidth="1"/>
    <col min="14358" max="14358" width="10.5703125" style="1" customWidth="1"/>
    <col min="14359" max="14359" width="8.42578125" style="1" customWidth="1"/>
    <col min="14360" max="14360" width="8.85546875" style="1" customWidth="1"/>
    <col min="14361" max="14361" width="8.7109375" style="1" customWidth="1"/>
    <col min="14362" max="14362" width="9.42578125" style="1" customWidth="1"/>
    <col min="14363" max="14363" width="8" style="1" customWidth="1"/>
    <col min="14364" max="14364" width="9" style="1" customWidth="1"/>
    <col min="14365" max="14365" width="8.85546875" style="1" customWidth="1"/>
    <col min="14366" max="14366" width="11.140625" style="1" customWidth="1"/>
    <col min="14367" max="14367" width="9.28515625" style="1" customWidth="1"/>
    <col min="14368" max="14368" width="9.5703125" style="1" customWidth="1"/>
    <col min="14369" max="14369" width="9.7109375" style="1" customWidth="1"/>
    <col min="14370" max="14370" width="11.28515625" style="1" customWidth="1"/>
    <col min="14371" max="14373" width="9.28515625" style="1" customWidth="1"/>
    <col min="14374" max="14374" width="11.28515625" style="1" customWidth="1"/>
    <col min="14375" max="14375" width="9" style="1" customWidth="1"/>
    <col min="14376" max="14377" width="9.7109375" style="1" customWidth="1"/>
    <col min="14378" max="14378" width="11.140625" style="1" customWidth="1"/>
    <col min="14379" max="14379" width="9.5703125" style="1" customWidth="1"/>
    <col min="14380" max="14380" width="9.28515625" style="1" customWidth="1"/>
    <col min="14381" max="14381" width="8.85546875" style="1" customWidth="1"/>
    <col min="14382" max="14382" width="11.140625" style="1" customWidth="1"/>
    <col min="14383" max="14383" width="8.85546875" style="1" customWidth="1"/>
    <col min="14384" max="14384" width="9.5703125" style="1" customWidth="1"/>
    <col min="14385" max="14385" width="9.28515625" style="1" customWidth="1"/>
    <col min="14386" max="14386" width="11.42578125" style="1" customWidth="1"/>
    <col min="14387" max="14387" width="9.5703125" style="1" customWidth="1"/>
    <col min="14388" max="14388" width="10.28515625" style="1" customWidth="1"/>
    <col min="14389" max="14389" width="11.42578125" style="1" customWidth="1"/>
    <col min="14390" max="14390" width="10.85546875" style="1" customWidth="1"/>
    <col min="14391" max="14391" width="43.42578125" style="1" customWidth="1"/>
    <col min="14392" max="14608" width="9.140625" style="1"/>
    <col min="14609" max="14609" width="34.5703125" style="1" customWidth="1"/>
    <col min="14610" max="14610" width="13.28515625" style="1" customWidth="1"/>
    <col min="14611" max="14611" width="14.28515625" style="1" customWidth="1"/>
    <col min="14612" max="14612" width="13.5703125" style="1" customWidth="1"/>
    <col min="14613" max="14613" width="9.28515625" style="1" customWidth="1"/>
    <col min="14614" max="14614" width="10.5703125" style="1" customWidth="1"/>
    <col min="14615" max="14615" width="8.42578125" style="1" customWidth="1"/>
    <col min="14616" max="14616" width="8.85546875" style="1" customWidth="1"/>
    <col min="14617" max="14617" width="8.7109375" style="1" customWidth="1"/>
    <col min="14618" max="14618" width="9.42578125" style="1" customWidth="1"/>
    <col min="14619" max="14619" width="8" style="1" customWidth="1"/>
    <col min="14620" max="14620" width="9" style="1" customWidth="1"/>
    <col min="14621" max="14621" width="8.85546875" style="1" customWidth="1"/>
    <col min="14622" max="14622" width="11.140625" style="1" customWidth="1"/>
    <col min="14623" max="14623" width="9.28515625" style="1" customWidth="1"/>
    <col min="14624" max="14624" width="9.5703125" style="1" customWidth="1"/>
    <col min="14625" max="14625" width="9.7109375" style="1" customWidth="1"/>
    <col min="14626" max="14626" width="11.28515625" style="1" customWidth="1"/>
    <col min="14627" max="14629" width="9.28515625" style="1" customWidth="1"/>
    <col min="14630" max="14630" width="11.28515625" style="1" customWidth="1"/>
    <col min="14631" max="14631" width="9" style="1" customWidth="1"/>
    <col min="14632" max="14633" width="9.7109375" style="1" customWidth="1"/>
    <col min="14634" max="14634" width="11.140625" style="1" customWidth="1"/>
    <col min="14635" max="14635" width="9.5703125" style="1" customWidth="1"/>
    <col min="14636" max="14636" width="9.28515625" style="1" customWidth="1"/>
    <col min="14637" max="14637" width="8.85546875" style="1" customWidth="1"/>
    <col min="14638" max="14638" width="11.140625" style="1" customWidth="1"/>
    <col min="14639" max="14639" width="8.85546875" style="1" customWidth="1"/>
    <col min="14640" max="14640" width="9.5703125" style="1" customWidth="1"/>
    <col min="14641" max="14641" width="9.28515625" style="1" customWidth="1"/>
    <col min="14642" max="14642" width="11.42578125" style="1" customWidth="1"/>
    <col min="14643" max="14643" width="9.5703125" style="1" customWidth="1"/>
    <col min="14644" max="14644" width="10.28515625" style="1" customWidth="1"/>
    <col min="14645" max="14645" width="11.42578125" style="1" customWidth="1"/>
    <col min="14646" max="14646" width="10.85546875" style="1" customWidth="1"/>
    <col min="14647" max="14647" width="43.42578125" style="1" customWidth="1"/>
    <col min="14648" max="14864" width="9.140625" style="1"/>
    <col min="14865" max="14865" width="34.5703125" style="1" customWidth="1"/>
    <col min="14866" max="14866" width="13.28515625" style="1" customWidth="1"/>
    <col min="14867" max="14867" width="14.28515625" style="1" customWidth="1"/>
    <col min="14868" max="14868" width="13.5703125" style="1" customWidth="1"/>
    <col min="14869" max="14869" width="9.28515625" style="1" customWidth="1"/>
    <col min="14870" max="14870" width="10.5703125" style="1" customWidth="1"/>
    <col min="14871" max="14871" width="8.42578125" style="1" customWidth="1"/>
    <col min="14872" max="14872" width="8.85546875" style="1" customWidth="1"/>
    <col min="14873" max="14873" width="8.7109375" style="1" customWidth="1"/>
    <col min="14874" max="14874" width="9.42578125" style="1" customWidth="1"/>
    <col min="14875" max="14875" width="8" style="1" customWidth="1"/>
    <col min="14876" max="14876" width="9" style="1" customWidth="1"/>
    <col min="14877" max="14877" width="8.85546875" style="1" customWidth="1"/>
    <col min="14878" max="14878" width="11.140625" style="1" customWidth="1"/>
    <col min="14879" max="14879" width="9.28515625" style="1" customWidth="1"/>
    <col min="14880" max="14880" width="9.5703125" style="1" customWidth="1"/>
    <col min="14881" max="14881" width="9.7109375" style="1" customWidth="1"/>
    <col min="14882" max="14882" width="11.28515625" style="1" customWidth="1"/>
    <col min="14883" max="14885" width="9.28515625" style="1" customWidth="1"/>
    <col min="14886" max="14886" width="11.28515625" style="1" customWidth="1"/>
    <col min="14887" max="14887" width="9" style="1" customWidth="1"/>
    <col min="14888" max="14889" width="9.7109375" style="1" customWidth="1"/>
    <col min="14890" max="14890" width="11.140625" style="1" customWidth="1"/>
    <col min="14891" max="14891" width="9.5703125" style="1" customWidth="1"/>
    <col min="14892" max="14892" width="9.28515625" style="1" customWidth="1"/>
    <col min="14893" max="14893" width="8.85546875" style="1" customWidth="1"/>
    <col min="14894" max="14894" width="11.140625" style="1" customWidth="1"/>
    <col min="14895" max="14895" width="8.85546875" style="1" customWidth="1"/>
    <col min="14896" max="14896" width="9.5703125" style="1" customWidth="1"/>
    <col min="14897" max="14897" width="9.28515625" style="1" customWidth="1"/>
    <col min="14898" max="14898" width="11.42578125" style="1" customWidth="1"/>
    <col min="14899" max="14899" width="9.5703125" style="1" customWidth="1"/>
    <col min="14900" max="14900" width="10.28515625" style="1" customWidth="1"/>
    <col min="14901" max="14901" width="11.42578125" style="1" customWidth="1"/>
    <col min="14902" max="14902" width="10.85546875" style="1" customWidth="1"/>
    <col min="14903" max="14903" width="43.42578125" style="1" customWidth="1"/>
    <col min="14904" max="15120" width="9.140625" style="1"/>
    <col min="15121" max="15121" width="34.5703125" style="1" customWidth="1"/>
    <col min="15122" max="15122" width="13.28515625" style="1" customWidth="1"/>
    <col min="15123" max="15123" width="14.28515625" style="1" customWidth="1"/>
    <col min="15124" max="15124" width="13.5703125" style="1" customWidth="1"/>
    <col min="15125" max="15125" width="9.28515625" style="1" customWidth="1"/>
    <col min="15126" max="15126" width="10.5703125" style="1" customWidth="1"/>
    <col min="15127" max="15127" width="8.42578125" style="1" customWidth="1"/>
    <col min="15128" max="15128" width="8.85546875" style="1" customWidth="1"/>
    <col min="15129" max="15129" width="8.7109375" style="1" customWidth="1"/>
    <col min="15130" max="15130" width="9.42578125" style="1" customWidth="1"/>
    <col min="15131" max="15131" width="8" style="1" customWidth="1"/>
    <col min="15132" max="15132" width="9" style="1" customWidth="1"/>
    <col min="15133" max="15133" width="8.85546875" style="1" customWidth="1"/>
    <col min="15134" max="15134" width="11.140625" style="1" customWidth="1"/>
    <col min="15135" max="15135" width="9.28515625" style="1" customWidth="1"/>
    <col min="15136" max="15136" width="9.5703125" style="1" customWidth="1"/>
    <col min="15137" max="15137" width="9.7109375" style="1" customWidth="1"/>
    <col min="15138" max="15138" width="11.28515625" style="1" customWidth="1"/>
    <col min="15139" max="15141" width="9.28515625" style="1" customWidth="1"/>
    <col min="15142" max="15142" width="11.28515625" style="1" customWidth="1"/>
    <col min="15143" max="15143" width="9" style="1" customWidth="1"/>
    <col min="15144" max="15145" width="9.7109375" style="1" customWidth="1"/>
    <col min="15146" max="15146" width="11.140625" style="1" customWidth="1"/>
    <col min="15147" max="15147" width="9.5703125" style="1" customWidth="1"/>
    <col min="15148" max="15148" width="9.28515625" style="1" customWidth="1"/>
    <col min="15149" max="15149" width="8.85546875" style="1" customWidth="1"/>
    <col min="15150" max="15150" width="11.140625" style="1" customWidth="1"/>
    <col min="15151" max="15151" width="8.85546875" style="1" customWidth="1"/>
    <col min="15152" max="15152" width="9.5703125" style="1" customWidth="1"/>
    <col min="15153" max="15153" width="9.28515625" style="1" customWidth="1"/>
    <col min="15154" max="15154" width="11.42578125" style="1" customWidth="1"/>
    <col min="15155" max="15155" width="9.5703125" style="1" customWidth="1"/>
    <col min="15156" max="15156" width="10.28515625" style="1" customWidth="1"/>
    <col min="15157" max="15157" width="11.42578125" style="1" customWidth="1"/>
    <col min="15158" max="15158" width="10.85546875" style="1" customWidth="1"/>
    <col min="15159" max="15159" width="43.42578125" style="1" customWidth="1"/>
    <col min="15160" max="15376" width="9.140625" style="1"/>
    <col min="15377" max="15377" width="34.5703125" style="1" customWidth="1"/>
    <col min="15378" max="15378" width="13.28515625" style="1" customWidth="1"/>
    <col min="15379" max="15379" width="14.28515625" style="1" customWidth="1"/>
    <col min="15380" max="15380" width="13.5703125" style="1" customWidth="1"/>
    <col min="15381" max="15381" width="9.28515625" style="1" customWidth="1"/>
    <col min="15382" max="15382" width="10.5703125" style="1" customWidth="1"/>
    <col min="15383" max="15383" width="8.42578125" style="1" customWidth="1"/>
    <col min="15384" max="15384" width="8.85546875" style="1" customWidth="1"/>
    <col min="15385" max="15385" width="8.7109375" style="1" customWidth="1"/>
    <col min="15386" max="15386" width="9.42578125" style="1" customWidth="1"/>
    <col min="15387" max="15387" width="8" style="1" customWidth="1"/>
    <col min="15388" max="15388" width="9" style="1" customWidth="1"/>
    <col min="15389" max="15389" width="8.85546875" style="1" customWidth="1"/>
    <col min="15390" max="15390" width="11.140625" style="1" customWidth="1"/>
    <col min="15391" max="15391" width="9.28515625" style="1" customWidth="1"/>
    <col min="15392" max="15392" width="9.5703125" style="1" customWidth="1"/>
    <col min="15393" max="15393" width="9.7109375" style="1" customWidth="1"/>
    <col min="15394" max="15394" width="11.28515625" style="1" customWidth="1"/>
    <col min="15395" max="15397" width="9.28515625" style="1" customWidth="1"/>
    <col min="15398" max="15398" width="11.28515625" style="1" customWidth="1"/>
    <col min="15399" max="15399" width="9" style="1" customWidth="1"/>
    <col min="15400" max="15401" width="9.7109375" style="1" customWidth="1"/>
    <col min="15402" max="15402" width="11.140625" style="1" customWidth="1"/>
    <col min="15403" max="15403" width="9.5703125" style="1" customWidth="1"/>
    <col min="15404" max="15404" width="9.28515625" style="1" customWidth="1"/>
    <col min="15405" max="15405" width="8.85546875" style="1" customWidth="1"/>
    <col min="15406" max="15406" width="11.140625" style="1" customWidth="1"/>
    <col min="15407" max="15407" width="8.85546875" style="1" customWidth="1"/>
    <col min="15408" max="15408" width="9.5703125" style="1" customWidth="1"/>
    <col min="15409" max="15409" width="9.28515625" style="1" customWidth="1"/>
    <col min="15410" max="15410" width="11.42578125" style="1" customWidth="1"/>
    <col min="15411" max="15411" width="9.5703125" style="1" customWidth="1"/>
    <col min="15412" max="15412" width="10.28515625" style="1" customWidth="1"/>
    <col min="15413" max="15413" width="11.42578125" style="1" customWidth="1"/>
    <col min="15414" max="15414" width="10.85546875" style="1" customWidth="1"/>
    <col min="15415" max="15415" width="43.42578125" style="1" customWidth="1"/>
    <col min="15416" max="15632" width="9.140625" style="1"/>
    <col min="15633" max="15633" width="34.5703125" style="1" customWidth="1"/>
    <col min="15634" max="15634" width="13.28515625" style="1" customWidth="1"/>
    <col min="15635" max="15635" width="14.28515625" style="1" customWidth="1"/>
    <col min="15636" max="15636" width="13.5703125" style="1" customWidth="1"/>
    <col min="15637" max="15637" width="9.28515625" style="1" customWidth="1"/>
    <col min="15638" max="15638" width="10.5703125" style="1" customWidth="1"/>
    <col min="15639" max="15639" width="8.42578125" style="1" customWidth="1"/>
    <col min="15640" max="15640" width="8.85546875" style="1" customWidth="1"/>
    <col min="15641" max="15641" width="8.7109375" style="1" customWidth="1"/>
    <col min="15642" max="15642" width="9.42578125" style="1" customWidth="1"/>
    <col min="15643" max="15643" width="8" style="1" customWidth="1"/>
    <col min="15644" max="15644" width="9" style="1" customWidth="1"/>
    <col min="15645" max="15645" width="8.85546875" style="1" customWidth="1"/>
    <col min="15646" max="15646" width="11.140625" style="1" customWidth="1"/>
    <col min="15647" max="15647" width="9.28515625" style="1" customWidth="1"/>
    <col min="15648" max="15648" width="9.5703125" style="1" customWidth="1"/>
    <col min="15649" max="15649" width="9.7109375" style="1" customWidth="1"/>
    <col min="15650" max="15650" width="11.28515625" style="1" customWidth="1"/>
    <col min="15651" max="15653" width="9.28515625" style="1" customWidth="1"/>
    <col min="15654" max="15654" width="11.28515625" style="1" customWidth="1"/>
    <col min="15655" max="15655" width="9" style="1" customWidth="1"/>
    <col min="15656" max="15657" width="9.7109375" style="1" customWidth="1"/>
    <col min="15658" max="15658" width="11.140625" style="1" customWidth="1"/>
    <col min="15659" max="15659" width="9.5703125" style="1" customWidth="1"/>
    <col min="15660" max="15660" width="9.28515625" style="1" customWidth="1"/>
    <col min="15661" max="15661" width="8.85546875" style="1" customWidth="1"/>
    <col min="15662" max="15662" width="11.140625" style="1" customWidth="1"/>
    <col min="15663" max="15663" width="8.85546875" style="1" customWidth="1"/>
    <col min="15664" max="15664" width="9.5703125" style="1" customWidth="1"/>
    <col min="15665" max="15665" width="9.28515625" style="1" customWidth="1"/>
    <col min="15666" max="15666" width="11.42578125" style="1" customWidth="1"/>
    <col min="15667" max="15667" width="9.5703125" style="1" customWidth="1"/>
    <col min="15668" max="15668" width="10.28515625" style="1" customWidth="1"/>
    <col min="15669" max="15669" width="11.42578125" style="1" customWidth="1"/>
    <col min="15670" max="15670" width="10.85546875" style="1" customWidth="1"/>
    <col min="15671" max="15671" width="43.42578125" style="1" customWidth="1"/>
    <col min="15672" max="15888" width="9.140625" style="1"/>
    <col min="15889" max="15889" width="34.5703125" style="1" customWidth="1"/>
    <col min="15890" max="15890" width="13.28515625" style="1" customWidth="1"/>
    <col min="15891" max="15891" width="14.28515625" style="1" customWidth="1"/>
    <col min="15892" max="15892" width="13.5703125" style="1" customWidth="1"/>
    <col min="15893" max="15893" width="9.28515625" style="1" customWidth="1"/>
    <col min="15894" max="15894" width="10.5703125" style="1" customWidth="1"/>
    <col min="15895" max="15895" width="8.42578125" style="1" customWidth="1"/>
    <col min="15896" max="15896" width="8.85546875" style="1" customWidth="1"/>
    <col min="15897" max="15897" width="8.7109375" style="1" customWidth="1"/>
    <col min="15898" max="15898" width="9.42578125" style="1" customWidth="1"/>
    <col min="15899" max="15899" width="8" style="1" customWidth="1"/>
    <col min="15900" max="15900" width="9" style="1" customWidth="1"/>
    <col min="15901" max="15901" width="8.85546875" style="1" customWidth="1"/>
    <col min="15902" max="15902" width="11.140625" style="1" customWidth="1"/>
    <col min="15903" max="15903" width="9.28515625" style="1" customWidth="1"/>
    <col min="15904" max="15904" width="9.5703125" style="1" customWidth="1"/>
    <col min="15905" max="15905" width="9.7109375" style="1" customWidth="1"/>
    <col min="15906" max="15906" width="11.28515625" style="1" customWidth="1"/>
    <col min="15907" max="15909" width="9.28515625" style="1" customWidth="1"/>
    <col min="15910" max="15910" width="11.28515625" style="1" customWidth="1"/>
    <col min="15911" max="15911" width="9" style="1" customWidth="1"/>
    <col min="15912" max="15913" width="9.7109375" style="1" customWidth="1"/>
    <col min="15914" max="15914" width="11.140625" style="1" customWidth="1"/>
    <col min="15915" max="15915" width="9.5703125" style="1" customWidth="1"/>
    <col min="15916" max="15916" width="9.28515625" style="1" customWidth="1"/>
    <col min="15917" max="15917" width="8.85546875" style="1" customWidth="1"/>
    <col min="15918" max="15918" width="11.140625" style="1" customWidth="1"/>
    <col min="15919" max="15919" width="8.85546875" style="1" customWidth="1"/>
    <col min="15920" max="15920" width="9.5703125" style="1" customWidth="1"/>
    <col min="15921" max="15921" width="9.28515625" style="1" customWidth="1"/>
    <col min="15922" max="15922" width="11.42578125" style="1" customWidth="1"/>
    <col min="15923" max="15923" width="9.5703125" style="1" customWidth="1"/>
    <col min="15924" max="15924" width="10.28515625" style="1" customWidth="1"/>
    <col min="15925" max="15925" width="11.42578125" style="1" customWidth="1"/>
    <col min="15926" max="15926" width="10.85546875" style="1" customWidth="1"/>
    <col min="15927" max="15927" width="43.42578125" style="1" customWidth="1"/>
    <col min="15928" max="16144" width="9.140625" style="1"/>
    <col min="16145" max="16145" width="34.5703125" style="1" customWidth="1"/>
    <col min="16146" max="16146" width="13.28515625" style="1" customWidth="1"/>
    <col min="16147" max="16147" width="14.28515625" style="1" customWidth="1"/>
    <col min="16148" max="16148" width="13.5703125" style="1" customWidth="1"/>
    <col min="16149" max="16149" width="9.28515625" style="1" customWidth="1"/>
    <col min="16150" max="16150" width="10.5703125" style="1" customWidth="1"/>
    <col min="16151" max="16151" width="8.42578125" style="1" customWidth="1"/>
    <col min="16152" max="16152" width="8.85546875" style="1" customWidth="1"/>
    <col min="16153" max="16153" width="8.7109375" style="1" customWidth="1"/>
    <col min="16154" max="16154" width="9.42578125" style="1" customWidth="1"/>
    <col min="16155" max="16155" width="8" style="1" customWidth="1"/>
    <col min="16156" max="16156" width="9" style="1" customWidth="1"/>
    <col min="16157" max="16157" width="8.85546875" style="1" customWidth="1"/>
    <col min="16158" max="16158" width="11.140625" style="1" customWidth="1"/>
    <col min="16159" max="16159" width="9.28515625" style="1" customWidth="1"/>
    <col min="16160" max="16160" width="9.5703125" style="1" customWidth="1"/>
    <col min="16161" max="16161" width="9.7109375" style="1" customWidth="1"/>
    <col min="16162" max="16162" width="11.28515625" style="1" customWidth="1"/>
    <col min="16163" max="16165" width="9.28515625" style="1" customWidth="1"/>
    <col min="16166" max="16166" width="11.28515625" style="1" customWidth="1"/>
    <col min="16167" max="16167" width="9" style="1" customWidth="1"/>
    <col min="16168" max="16169" width="9.7109375" style="1" customWidth="1"/>
    <col min="16170" max="16170" width="11.140625" style="1" customWidth="1"/>
    <col min="16171" max="16171" width="9.5703125" style="1" customWidth="1"/>
    <col min="16172" max="16172" width="9.28515625" style="1" customWidth="1"/>
    <col min="16173" max="16173" width="8.85546875" style="1" customWidth="1"/>
    <col min="16174" max="16174" width="11.140625" style="1" customWidth="1"/>
    <col min="16175" max="16175" width="8.85546875" style="1" customWidth="1"/>
    <col min="16176" max="16176" width="9.5703125" style="1" customWidth="1"/>
    <col min="16177" max="16177" width="9.28515625" style="1" customWidth="1"/>
    <col min="16178" max="16178" width="11.42578125" style="1" customWidth="1"/>
    <col min="16179" max="16179" width="9.5703125" style="1" customWidth="1"/>
    <col min="16180" max="16180" width="10.28515625" style="1" customWidth="1"/>
    <col min="16181" max="16181" width="11.42578125" style="1" customWidth="1"/>
    <col min="16182" max="16182" width="10.85546875" style="1" customWidth="1"/>
    <col min="16183" max="16183" width="43.42578125" style="1" customWidth="1"/>
    <col min="16184" max="16384" width="9.140625" style="1"/>
  </cols>
  <sheetData>
    <row r="1" spans="1:74" hidden="1" x14ac:dyDescent="0.25">
      <c r="M1" s="1">
        <v>5206</v>
      </c>
      <c r="N1" s="1">
        <v>5206</v>
      </c>
      <c r="O1" s="1">
        <v>5206</v>
      </c>
      <c r="P1" s="1">
        <v>5206</v>
      </c>
      <c r="Q1" s="1">
        <v>5197</v>
      </c>
      <c r="R1" s="1">
        <v>5197</v>
      </c>
      <c r="S1" s="1">
        <v>5197</v>
      </c>
      <c r="T1" s="1">
        <v>5197</v>
      </c>
      <c r="U1" s="1">
        <v>108</v>
      </c>
      <c r="V1" s="1">
        <v>108</v>
      </c>
      <c r="W1" s="1">
        <v>108</v>
      </c>
      <c r="X1" s="1">
        <v>108</v>
      </c>
      <c r="Y1" s="1">
        <v>79</v>
      </c>
      <c r="Z1" s="1">
        <v>79</v>
      </c>
      <c r="AA1" s="1">
        <v>79</v>
      </c>
      <c r="AB1" s="1">
        <v>79</v>
      </c>
      <c r="AC1" s="1">
        <v>5241</v>
      </c>
      <c r="AD1" s="1">
        <v>5241</v>
      </c>
      <c r="AE1" s="1">
        <v>5241</v>
      </c>
      <c r="AF1" s="1">
        <v>5241</v>
      </c>
      <c r="AG1" s="1">
        <v>5259</v>
      </c>
      <c r="AH1" s="1">
        <v>5259</v>
      </c>
      <c r="AI1" s="1">
        <v>5259</v>
      </c>
      <c r="AJ1" s="1">
        <v>5259</v>
      </c>
      <c r="AK1" s="1">
        <v>94</v>
      </c>
      <c r="AL1" s="1">
        <v>94</v>
      </c>
      <c r="AM1" s="1">
        <v>94</v>
      </c>
      <c r="AN1" s="1">
        <v>94</v>
      </c>
      <c r="AO1" s="1">
        <v>5260</v>
      </c>
      <c r="AP1" s="1">
        <v>5260</v>
      </c>
      <c r="AQ1" s="1">
        <v>5260</v>
      </c>
      <c r="AR1" s="1">
        <v>5260</v>
      </c>
      <c r="AS1" s="1">
        <v>5214</v>
      </c>
      <c r="AT1" s="1">
        <v>5214</v>
      </c>
      <c r="AU1" s="1">
        <v>5214</v>
      </c>
      <c r="AV1" s="1">
        <v>5214</v>
      </c>
      <c r="BA1" s="1">
        <v>5208</v>
      </c>
      <c r="BB1" s="1">
        <v>5211</v>
      </c>
    </row>
    <row r="2" spans="1:74" hidden="1" x14ac:dyDescent="0.25"/>
    <row r="3" spans="1:74" hidden="1" x14ac:dyDescent="0.25">
      <c r="I3" s="1" t="s">
        <v>123</v>
      </c>
      <c r="J3" s="1" t="s">
        <v>123</v>
      </c>
      <c r="K3" s="1" t="s">
        <v>123</v>
      </c>
      <c r="L3" s="1" t="s">
        <v>123</v>
      </c>
    </row>
    <row r="4" spans="1:74" x14ac:dyDescent="0.25">
      <c r="W4" s="76" t="s">
        <v>0</v>
      </c>
      <c r="X4" s="76"/>
      <c r="Y4" s="76"/>
      <c r="Z4" s="76"/>
      <c r="AA4" s="76"/>
      <c r="AB4" s="76"/>
      <c r="AC4" s="16"/>
      <c r="AD4" s="16"/>
      <c r="AE4" s="11"/>
    </row>
    <row r="5" spans="1:74" s="14" customFormat="1" ht="17.25" customHeight="1" x14ac:dyDescent="0.25">
      <c r="E5" s="44"/>
      <c r="F5" s="77" t="s">
        <v>1</v>
      </c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7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7"/>
    </row>
    <row r="6" spans="1:74" s="14" customFormat="1" ht="18.75" customHeight="1" x14ac:dyDescent="0.25">
      <c r="E6" s="77" t="s">
        <v>125</v>
      </c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  <c r="AA6" s="77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7"/>
    </row>
    <row r="7" spans="1:74" s="14" customFormat="1" ht="21" customHeight="1" x14ac:dyDescent="0.25">
      <c r="E7" s="78" t="s">
        <v>126</v>
      </c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7"/>
      <c r="BL7" s="71"/>
    </row>
    <row r="8" spans="1:74" s="18" customFormat="1" ht="16.5" customHeight="1" x14ac:dyDescent="0.25">
      <c r="D8" s="73" t="s">
        <v>124</v>
      </c>
      <c r="E8" s="73" t="s">
        <v>3</v>
      </c>
      <c r="F8" s="79" t="s">
        <v>4</v>
      </c>
      <c r="G8" s="82" t="s">
        <v>5</v>
      </c>
      <c r="H8" s="82" t="s">
        <v>6</v>
      </c>
      <c r="I8" s="85" t="s">
        <v>7</v>
      </c>
      <c r="J8" s="86"/>
      <c r="K8" s="86"/>
      <c r="L8" s="87"/>
      <c r="M8" s="91" t="s">
        <v>8</v>
      </c>
      <c r="N8" s="92"/>
      <c r="O8" s="92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2"/>
      <c r="AV8" s="92"/>
      <c r="AW8" s="92"/>
      <c r="AX8" s="92"/>
      <c r="AY8" s="92"/>
      <c r="AZ8" s="93"/>
      <c r="BA8" s="103" t="s">
        <v>9</v>
      </c>
      <c r="BB8" s="82" t="s">
        <v>10</v>
      </c>
      <c r="BC8" s="96" t="s">
        <v>11</v>
      </c>
    </row>
    <row r="9" spans="1:74" s="18" customFormat="1" ht="15.75" customHeight="1" x14ac:dyDescent="0.25">
      <c r="D9" s="74"/>
      <c r="E9" s="74"/>
      <c r="F9" s="80"/>
      <c r="G9" s="83"/>
      <c r="H9" s="83"/>
      <c r="I9" s="88"/>
      <c r="J9" s="89"/>
      <c r="K9" s="89"/>
      <c r="L9" s="90"/>
      <c r="M9" s="94" t="s">
        <v>12</v>
      </c>
      <c r="N9" s="98"/>
      <c r="O9" s="98"/>
      <c r="P9" s="95"/>
      <c r="Q9" s="94" t="s">
        <v>13</v>
      </c>
      <c r="R9" s="98"/>
      <c r="S9" s="98"/>
      <c r="T9" s="95"/>
      <c r="U9" s="94" t="s">
        <v>14</v>
      </c>
      <c r="V9" s="98"/>
      <c r="W9" s="98"/>
      <c r="X9" s="95"/>
      <c r="Y9" s="94" t="s">
        <v>15</v>
      </c>
      <c r="Z9" s="98"/>
      <c r="AA9" s="98"/>
      <c r="AB9" s="95"/>
      <c r="AC9" s="94" t="s">
        <v>16</v>
      </c>
      <c r="AD9" s="98"/>
      <c r="AE9" s="98"/>
      <c r="AF9" s="95"/>
      <c r="AG9" s="94" t="s">
        <v>17</v>
      </c>
      <c r="AH9" s="98"/>
      <c r="AI9" s="98"/>
      <c r="AJ9" s="95"/>
      <c r="AK9" s="94" t="s">
        <v>18</v>
      </c>
      <c r="AL9" s="98"/>
      <c r="AM9" s="98"/>
      <c r="AN9" s="95"/>
      <c r="AO9" s="94" t="s">
        <v>19</v>
      </c>
      <c r="AP9" s="98"/>
      <c r="AQ9" s="98"/>
      <c r="AR9" s="95"/>
      <c r="AS9" s="94" t="s">
        <v>20</v>
      </c>
      <c r="AT9" s="98"/>
      <c r="AU9" s="98"/>
      <c r="AV9" s="95"/>
      <c r="AW9" s="94" t="s">
        <v>21</v>
      </c>
      <c r="AX9" s="98"/>
      <c r="AY9" s="98"/>
      <c r="AZ9" s="95"/>
      <c r="BA9" s="104"/>
      <c r="BB9" s="83"/>
      <c r="BC9" s="97"/>
    </row>
    <row r="10" spans="1:74" s="19" customFormat="1" ht="51" customHeight="1" x14ac:dyDescent="0.25">
      <c r="D10" s="74"/>
      <c r="E10" s="74"/>
      <c r="F10" s="80"/>
      <c r="G10" s="83"/>
      <c r="H10" s="83"/>
      <c r="I10" s="94" t="s">
        <v>22</v>
      </c>
      <c r="J10" s="95"/>
      <c r="K10" s="94" t="s">
        <v>23</v>
      </c>
      <c r="L10" s="95"/>
      <c r="M10" s="94" t="s">
        <v>22</v>
      </c>
      <c r="N10" s="95"/>
      <c r="O10" s="94" t="s">
        <v>23</v>
      </c>
      <c r="P10" s="95"/>
      <c r="Q10" s="94" t="s">
        <v>22</v>
      </c>
      <c r="R10" s="95"/>
      <c r="S10" s="94" t="s">
        <v>23</v>
      </c>
      <c r="T10" s="95"/>
      <c r="U10" s="94" t="s">
        <v>22</v>
      </c>
      <c r="V10" s="95"/>
      <c r="W10" s="94" t="s">
        <v>23</v>
      </c>
      <c r="X10" s="95"/>
      <c r="Y10" s="94" t="s">
        <v>22</v>
      </c>
      <c r="Z10" s="95"/>
      <c r="AA10" s="94" t="s">
        <v>23</v>
      </c>
      <c r="AB10" s="95"/>
      <c r="AC10" s="94" t="s">
        <v>22</v>
      </c>
      <c r="AD10" s="95"/>
      <c r="AE10" s="94" t="s">
        <v>23</v>
      </c>
      <c r="AF10" s="95"/>
      <c r="AG10" s="94" t="s">
        <v>22</v>
      </c>
      <c r="AH10" s="95"/>
      <c r="AI10" s="94" t="s">
        <v>23</v>
      </c>
      <c r="AJ10" s="95"/>
      <c r="AK10" s="94" t="s">
        <v>22</v>
      </c>
      <c r="AL10" s="95"/>
      <c r="AM10" s="94" t="s">
        <v>23</v>
      </c>
      <c r="AN10" s="95"/>
      <c r="AO10" s="94" t="s">
        <v>22</v>
      </c>
      <c r="AP10" s="95"/>
      <c r="AQ10" s="94" t="s">
        <v>23</v>
      </c>
      <c r="AR10" s="95"/>
      <c r="AS10" s="94" t="s">
        <v>22</v>
      </c>
      <c r="AT10" s="95"/>
      <c r="AU10" s="94" t="s">
        <v>23</v>
      </c>
      <c r="AV10" s="95"/>
      <c r="AW10" s="94" t="s">
        <v>22</v>
      </c>
      <c r="AX10" s="95"/>
      <c r="AY10" s="94" t="s">
        <v>23</v>
      </c>
      <c r="AZ10" s="95"/>
      <c r="BA10" s="105"/>
      <c r="BB10" s="84"/>
      <c r="BC10" s="97"/>
    </row>
    <row r="11" spans="1:74" s="18" customFormat="1" ht="92.25" customHeight="1" x14ac:dyDescent="0.25">
      <c r="D11" s="75"/>
      <c r="E11" s="75"/>
      <c r="F11" s="81"/>
      <c r="G11" s="84"/>
      <c r="H11" s="84"/>
      <c r="I11" s="2" t="s">
        <v>24</v>
      </c>
      <c r="J11" s="20" t="s">
        <v>25</v>
      </c>
      <c r="K11" s="2" t="s">
        <v>26</v>
      </c>
      <c r="L11" s="20" t="s">
        <v>25</v>
      </c>
      <c r="M11" s="2" t="s">
        <v>24</v>
      </c>
      <c r="N11" s="20" t="s">
        <v>25</v>
      </c>
      <c r="O11" s="2" t="s">
        <v>26</v>
      </c>
      <c r="P11" s="20" t="s">
        <v>25</v>
      </c>
      <c r="Q11" s="2" t="s">
        <v>24</v>
      </c>
      <c r="R11" s="20" t="s">
        <v>25</v>
      </c>
      <c r="S11" s="2" t="s">
        <v>26</v>
      </c>
      <c r="T11" s="20" t="s">
        <v>25</v>
      </c>
      <c r="U11" s="2" t="s">
        <v>24</v>
      </c>
      <c r="V11" s="20" t="s">
        <v>25</v>
      </c>
      <c r="W11" s="2" t="s">
        <v>26</v>
      </c>
      <c r="X11" s="20" t="s">
        <v>25</v>
      </c>
      <c r="Y11" s="2" t="s">
        <v>24</v>
      </c>
      <c r="Z11" s="20" t="s">
        <v>25</v>
      </c>
      <c r="AA11" s="2" t="s">
        <v>26</v>
      </c>
      <c r="AB11" s="20" t="s">
        <v>25</v>
      </c>
      <c r="AC11" s="2" t="s">
        <v>24</v>
      </c>
      <c r="AD11" s="20" t="s">
        <v>25</v>
      </c>
      <c r="AE11" s="2" t="s">
        <v>26</v>
      </c>
      <c r="AF11" s="20" t="s">
        <v>25</v>
      </c>
      <c r="AG11" s="2" t="s">
        <v>24</v>
      </c>
      <c r="AH11" s="20" t="s">
        <v>25</v>
      </c>
      <c r="AI11" s="2" t="s">
        <v>26</v>
      </c>
      <c r="AJ11" s="20" t="s">
        <v>25</v>
      </c>
      <c r="AK11" s="2" t="s">
        <v>24</v>
      </c>
      <c r="AL11" s="20" t="s">
        <v>25</v>
      </c>
      <c r="AM11" s="2" t="s">
        <v>26</v>
      </c>
      <c r="AN11" s="20" t="s">
        <v>25</v>
      </c>
      <c r="AO11" s="2" t="s">
        <v>24</v>
      </c>
      <c r="AP11" s="20" t="s">
        <v>25</v>
      </c>
      <c r="AQ11" s="2" t="s">
        <v>26</v>
      </c>
      <c r="AR11" s="20" t="s">
        <v>25</v>
      </c>
      <c r="AS11" s="2" t="s">
        <v>24</v>
      </c>
      <c r="AT11" s="20" t="s">
        <v>25</v>
      </c>
      <c r="AU11" s="2" t="s">
        <v>26</v>
      </c>
      <c r="AV11" s="20" t="s">
        <v>25</v>
      </c>
      <c r="AW11" s="2" t="s">
        <v>24</v>
      </c>
      <c r="AX11" s="20" t="s">
        <v>25</v>
      </c>
      <c r="AY11" s="2" t="s">
        <v>26</v>
      </c>
      <c r="AZ11" s="20" t="s">
        <v>25</v>
      </c>
      <c r="BA11" s="2" t="s">
        <v>27</v>
      </c>
      <c r="BB11" s="2" t="s">
        <v>27</v>
      </c>
    </row>
    <row r="12" spans="1:74" s="21" customFormat="1" ht="33" customHeight="1" x14ac:dyDescent="0.25">
      <c r="D12" s="52"/>
      <c r="E12" s="45"/>
      <c r="F12" s="3" t="s">
        <v>28</v>
      </c>
      <c r="G12" s="3" t="s">
        <v>29</v>
      </c>
      <c r="H12" s="3" t="s">
        <v>30</v>
      </c>
      <c r="I12" s="3" t="s">
        <v>31</v>
      </c>
      <c r="J12" s="3" t="s">
        <v>32</v>
      </c>
      <c r="K12" s="3" t="s">
        <v>33</v>
      </c>
      <c r="L12" s="3" t="s">
        <v>34</v>
      </c>
      <c r="M12" s="3" t="s">
        <v>35</v>
      </c>
      <c r="N12" s="3" t="s">
        <v>36</v>
      </c>
      <c r="O12" s="3" t="s">
        <v>37</v>
      </c>
      <c r="P12" s="3" t="s">
        <v>38</v>
      </c>
      <c r="Q12" s="3" t="s">
        <v>39</v>
      </c>
      <c r="R12" s="3" t="s">
        <v>40</v>
      </c>
      <c r="S12" s="3" t="s">
        <v>41</v>
      </c>
      <c r="T12" s="3" t="s">
        <v>42</v>
      </c>
      <c r="U12" s="3" t="s">
        <v>43</v>
      </c>
      <c r="V12" s="3" t="s">
        <v>44</v>
      </c>
      <c r="W12" s="3" t="s">
        <v>45</v>
      </c>
      <c r="X12" s="3" t="s">
        <v>46</v>
      </c>
      <c r="Y12" s="3" t="s">
        <v>47</v>
      </c>
      <c r="Z12" s="3" t="s">
        <v>48</v>
      </c>
      <c r="AA12" s="3" t="s">
        <v>49</v>
      </c>
      <c r="AB12" s="3" t="s">
        <v>50</v>
      </c>
      <c r="AC12" s="3" t="s">
        <v>51</v>
      </c>
      <c r="AD12" s="3" t="s">
        <v>52</v>
      </c>
      <c r="AE12" s="3" t="s">
        <v>53</v>
      </c>
      <c r="AF12" s="3" t="s">
        <v>54</v>
      </c>
      <c r="AG12" s="3" t="s">
        <v>55</v>
      </c>
      <c r="AH12" s="3" t="s">
        <v>56</v>
      </c>
      <c r="AI12" s="3" t="s">
        <v>57</v>
      </c>
      <c r="AJ12" s="3" t="s">
        <v>58</v>
      </c>
      <c r="AK12" s="3" t="s">
        <v>55</v>
      </c>
      <c r="AL12" s="3" t="s">
        <v>56</v>
      </c>
      <c r="AM12" s="3" t="s">
        <v>57</v>
      </c>
      <c r="AN12" s="3" t="s">
        <v>58</v>
      </c>
      <c r="AO12" s="3" t="s">
        <v>55</v>
      </c>
      <c r="AP12" s="3" t="s">
        <v>56</v>
      </c>
      <c r="AQ12" s="3" t="s">
        <v>57</v>
      </c>
      <c r="AR12" s="3" t="s">
        <v>58</v>
      </c>
      <c r="AS12" s="3" t="s">
        <v>55</v>
      </c>
      <c r="AT12" s="3" t="s">
        <v>56</v>
      </c>
      <c r="AU12" s="3" t="s">
        <v>57</v>
      </c>
      <c r="AV12" s="3" t="s">
        <v>58</v>
      </c>
      <c r="AW12" s="3" t="s">
        <v>59</v>
      </c>
      <c r="AX12" s="3" t="s">
        <v>60</v>
      </c>
      <c r="AY12" s="3" t="s">
        <v>61</v>
      </c>
      <c r="AZ12" s="3" t="s">
        <v>62</v>
      </c>
      <c r="BA12" s="22" t="s">
        <v>63</v>
      </c>
      <c r="BB12" s="2" t="s">
        <v>64</v>
      </c>
      <c r="BC12" s="23"/>
    </row>
    <row r="13" spans="1:74" s="25" customFormat="1" ht="15.75" customHeight="1" x14ac:dyDescent="0.25">
      <c r="A13" s="21"/>
      <c r="B13" s="21"/>
      <c r="C13" s="21"/>
      <c r="D13" s="62"/>
      <c r="E13" s="94" t="s">
        <v>65</v>
      </c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5"/>
      <c r="BC13" s="24"/>
      <c r="BD13" s="21"/>
      <c r="BU13" s="62"/>
      <c r="BV13" s="62"/>
    </row>
    <row r="14" spans="1:74" s="21" customFormat="1" ht="31.5" x14ac:dyDescent="0.25">
      <c r="B14" s="72" t="s">
        <v>144</v>
      </c>
      <c r="D14" s="63"/>
      <c r="E14" s="46">
        <v>1</v>
      </c>
      <c r="F14" s="26" t="s">
        <v>66</v>
      </c>
      <c r="G14" s="4" t="s">
        <v>127</v>
      </c>
      <c r="H14" s="4" t="s">
        <v>128</v>
      </c>
      <c r="I14" s="4" t="s">
        <v>129</v>
      </c>
      <c r="J14" s="4" t="s">
        <v>130</v>
      </c>
      <c r="K14" s="4" t="s">
        <v>131</v>
      </c>
      <c r="L14" s="4" t="s">
        <v>132</v>
      </c>
      <c r="M14" s="4" t="s">
        <v>133</v>
      </c>
      <c r="N14" s="4" t="s">
        <v>134</v>
      </c>
      <c r="O14" s="4" t="s">
        <v>135</v>
      </c>
      <c r="P14" s="4" t="s">
        <v>136</v>
      </c>
      <c r="Q14" s="4" t="s">
        <v>133</v>
      </c>
      <c r="R14" s="4" t="s">
        <v>134</v>
      </c>
      <c r="S14" s="4" t="s">
        <v>135</v>
      </c>
      <c r="T14" s="4" t="s">
        <v>136</v>
      </c>
      <c r="U14" s="4" t="s">
        <v>133</v>
      </c>
      <c r="V14" s="4" t="s">
        <v>134</v>
      </c>
      <c r="W14" s="4" t="s">
        <v>135</v>
      </c>
      <c r="X14" s="4" t="s">
        <v>136</v>
      </c>
      <c r="Y14" s="4" t="s">
        <v>133</v>
      </c>
      <c r="Z14" s="4" t="s">
        <v>134</v>
      </c>
      <c r="AA14" s="4" t="s">
        <v>135</v>
      </c>
      <c r="AB14" s="4" t="s">
        <v>136</v>
      </c>
      <c r="AC14" s="4" t="s">
        <v>133</v>
      </c>
      <c r="AD14" s="4" t="s">
        <v>134</v>
      </c>
      <c r="AE14" s="4" t="s">
        <v>135</v>
      </c>
      <c r="AF14" s="4" t="s">
        <v>136</v>
      </c>
      <c r="AG14" s="4" t="s">
        <v>133</v>
      </c>
      <c r="AH14" s="4" t="s">
        <v>134</v>
      </c>
      <c r="AI14" s="4" t="s">
        <v>135</v>
      </c>
      <c r="AJ14" s="4" t="s">
        <v>136</v>
      </c>
      <c r="AK14" s="4" t="s">
        <v>133</v>
      </c>
      <c r="AL14" s="4" t="s">
        <v>134</v>
      </c>
      <c r="AM14" s="4" t="s">
        <v>135</v>
      </c>
      <c r="AN14" s="4" t="s">
        <v>136</v>
      </c>
      <c r="AO14" s="4" t="s">
        <v>133</v>
      </c>
      <c r="AP14" s="4" t="s">
        <v>134</v>
      </c>
      <c r="AQ14" s="4" t="s">
        <v>135</v>
      </c>
      <c r="AR14" s="4" t="s">
        <v>136</v>
      </c>
      <c r="AS14" s="4" t="s">
        <v>133</v>
      </c>
      <c r="AT14" s="4" t="s">
        <v>134</v>
      </c>
      <c r="AU14" s="4" t="s">
        <v>135</v>
      </c>
      <c r="AV14" s="4" t="s">
        <v>136</v>
      </c>
      <c r="AW14" s="4" t="s">
        <v>137</v>
      </c>
      <c r="AX14" s="4" t="s">
        <v>138</v>
      </c>
      <c r="AY14" s="4" t="s">
        <v>139</v>
      </c>
      <c r="AZ14" s="4" t="s">
        <v>140</v>
      </c>
      <c r="BA14" s="4" t="s">
        <v>141</v>
      </c>
      <c r="BB14" s="4" t="s">
        <v>141</v>
      </c>
      <c r="BC14" s="55" t="str">
        <f>IF(OR(I14&lt;M14,I14&lt;Q14,I14&lt;U14,I14&lt;Y14,I14&lt;AC14,I14&lt;AG14,I14&lt;AK14,I14&lt;AO14,I14&lt;AS14,I14&lt;AW14,I14&lt;BA14,I14&lt;BB14),F14&amp;", - указанный тоннаж по одной из болезней больше, чем общая масса зараженных семян","+")</f>
        <v>Яровая пшеница, - указанный тоннаж по одной из болезней больше, чем общая масса зараженных семян</v>
      </c>
      <c r="BD14" s="56" t="e">
        <f>(IF(ABS(SUM(N14,R14,V14,Z14,AD14,AH14,AL14,AP14,AT14,AX14)-J14)&gt;0.1,F14&amp;", - указанный средневзвешенный процент поражения болзнями посчитан неверно (не является суммой процентов поражения всеми болезнями)","+"))</f>
        <v>#VALUE!</v>
      </c>
      <c r="BE14" s="56" t="str">
        <f>IF(OR(L14&lt;P14,L14&lt;T14,L14&lt;X14,L14&lt;AB14,L14&lt;AF14,L14&lt;AJ14,L14&lt;AN14,L14&lt;AR14,L14&lt;AV14,L14&lt;AZ14),F14&amp;", - указанный максимальный процент меньше, чем по одной из болезней","+")</f>
        <v>Яровая пшеница, - указанный максимальный процент меньше, чем по одной из болезней</v>
      </c>
      <c r="BF14" s="55" t="str">
        <f t="shared" ref="BF14:BF27" si="0">IF(H14&lt;I14,F14&amp;", - масса зараженных семян меньше, чем масса проанализированных семян","+")</f>
        <v>Яровая пшеница, - масса зараженных семян меньше, чем масса проанализированных семян</v>
      </c>
      <c r="BG14" s="55" t="str">
        <f t="shared" ref="BG14:BG27" si="1">IF(OR(J14&gt;L14,N14&gt;P14,R14&gt;T14,V14&gt;X14,Z14&gt;AB14,AD14&gt;AF14,AH14&gt;AJ14,AL14&gt;AN14,AP14&gt;AR14,AT14&gt;AV14,AX14&gt;AZ14),F14&amp;", - как минимум по одной из болезней средневзвешенный процент больше максимального","+")</f>
        <v>+</v>
      </c>
      <c r="BH14" s="55" t="str">
        <f t="shared" ref="BH14:BH27" si="2">IF(OR(K14&gt;I14,O14&gt;M14,S14&gt;Q14,W14&gt;U14,AA14&gt;Y14,AE14&gt;AC14,AI14&gt;AG14,AM14&gt;AK14,AQ14&gt;AO14,AU14&gt;AS14,AY14&gt;AW14),F14&amp;", - как минимум по одной из болезней масса партии с максимальным поражением больше массы пораженных партий","+")</f>
        <v>Яровая пшеница, - как минимум по одной из болезней масса партии с максимальным поражением больше массы пораженных партий</v>
      </c>
      <c r="BI14" s="57"/>
      <c r="BJ14" s="58"/>
      <c r="BK14" s="59" t="e">
        <f t="shared" ref="BK14:BK20" si="3">L14-P14</f>
        <v>#VALUE!</v>
      </c>
      <c r="BL14" s="59" t="e">
        <f t="shared" ref="BL14:BL20" si="4">L14-T14</f>
        <v>#VALUE!</v>
      </c>
      <c r="BM14" s="59" t="e">
        <f t="shared" ref="BM14:BM20" si="5">L14-X14</f>
        <v>#VALUE!</v>
      </c>
      <c r="BN14" s="59" t="e">
        <f t="shared" ref="BN14:BN20" si="6">L14-AB14</f>
        <v>#VALUE!</v>
      </c>
      <c r="BO14" s="59" t="e">
        <f t="shared" ref="BO14:BO20" si="7">L14-AF14</f>
        <v>#VALUE!</v>
      </c>
      <c r="BP14" s="59" t="e">
        <f>L14-AJ14</f>
        <v>#VALUE!</v>
      </c>
      <c r="BQ14" s="59" t="e">
        <f>L14-AN14</f>
        <v>#VALUE!</v>
      </c>
      <c r="BR14" s="59" t="e">
        <f>L14-AR14</f>
        <v>#VALUE!</v>
      </c>
      <c r="BS14" s="59" t="e">
        <f t="shared" ref="BS14:BS20" si="8">L14-AV14</f>
        <v>#VALUE!</v>
      </c>
      <c r="BT14" s="59" t="e">
        <f t="shared" ref="BT14:BT20" si="9">L14-AZ14</f>
        <v>#VALUE!</v>
      </c>
      <c r="BU14" s="62"/>
      <c r="BV14" s="62"/>
    </row>
    <row r="15" spans="1:74" s="21" customFormat="1" ht="31.5" x14ac:dyDescent="0.25">
      <c r="B15" s="72">
        <v>477</v>
      </c>
      <c r="D15" s="63"/>
      <c r="E15" s="47">
        <v>2</v>
      </c>
      <c r="F15" s="28" t="s">
        <v>67</v>
      </c>
      <c r="G15" s="4" t="s">
        <v>127</v>
      </c>
      <c r="H15" s="4" t="s">
        <v>128</v>
      </c>
      <c r="I15" s="4" t="s">
        <v>129</v>
      </c>
      <c r="J15" s="4" t="s">
        <v>130</v>
      </c>
      <c r="K15" s="4" t="s">
        <v>131</v>
      </c>
      <c r="L15" s="4" t="s">
        <v>132</v>
      </c>
      <c r="M15" s="4" t="s">
        <v>133</v>
      </c>
      <c r="N15" s="4" t="s">
        <v>134</v>
      </c>
      <c r="O15" s="4" t="s">
        <v>135</v>
      </c>
      <c r="P15" s="4" t="s">
        <v>136</v>
      </c>
      <c r="Q15" s="4" t="s">
        <v>133</v>
      </c>
      <c r="R15" s="4" t="s">
        <v>134</v>
      </c>
      <c r="S15" s="4" t="s">
        <v>135</v>
      </c>
      <c r="T15" s="4" t="s">
        <v>136</v>
      </c>
      <c r="U15" s="4" t="s">
        <v>133</v>
      </c>
      <c r="V15" s="4" t="s">
        <v>134</v>
      </c>
      <c r="W15" s="4" t="s">
        <v>135</v>
      </c>
      <c r="X15" s="4" t="s">
        <v>136</v>
      </c>
      <c r="Y15" s="4" t="s">
        <v>133</v>
      </c>
      <c r="Z15" s="4" t="s">
        <v>134</v>
      </c>
      <c r="AA15" s="4" t="s">
        <v>135</v>
      </c>
      <c r="AB15" s="4" t="s">
        <v>136</v>
      </c>
      <c r="AC15" s="4" t="s">
        <v>133</v>
      </c>
      <c r="AD15" s="4" t="s">
        <v>134</v>
      </c>
      <c r="AE15" s="4" t="s">
        <v>135</v>
      </c>
      <c r="AF15" s="4" t="s">
        <v>136</v>
      </c>
      <c r="AG15" s="4" t="s">
        <v>133</v>
      </c>
      <c r="AH15" s="4" t="s">
        <v>134</v>
      </c>
      <c r="AI15" s="4" t="s">
        <v>135</v>
      </c>
      <c r="AJ15" s="4" t="s">
        <v>136</v>
      </c>
      <c r="AK15" s="4" t="s">
        <v>133</v>
      </c>
      <c r="AL15" s="4" t="s">
        <v>134</v>
      </c>
      <c r="AM15" s="4" t="s">
        <v>135</v>
      </c>
      <c r="AN15" s="4" t="s">
        <v>136</v>
      </c>
      <c r="AO15" s="4" t="s">
        <v>133</v>
      </c>
      <c r="AP15" s="4" t="s">
        <v>134</v>
      </c>
      <c r="AQ15" s="4" t="s">
        <v>135</v>
      </c>
      <c r="AR15" s="4" t="s">
        <v>136</v>
      </c>
      <c r="AS15" s="4" t="s">
        <v>133</v>
      </c>
      <c r="AT15" s="4" t="s">
        <v>134</v>
      </c>
      <c r="AU15" s="4" t="s">
        <v>135</v>
      </c>
      <c r="AV15" s="4" t="s">
        <v>136</v>
      </c>
      <c r="AW15" s="4" t="s">
        <v>137</v>
      </c>
      <c r="AX15" s="4" t="s">
        <v>138</v>
      </c>
      <c r="AY15" s="4" t="s">
        <v>139</v>
      </c>
      <c r="AZ15" s="4" t="s">
        <v>140</v>
      </c>
      <c r="BA15" s="4" t="s">
        <v>141</v>
      </c>
      <c r="BB15" s="4" t="s">
        <v>141</v>
      </c>
      <c r="BC15" s="55" t="str">
        <f t="shared" ref="BC15:BC27" si="10">IF(OR(I15&lt;M15,I15&lt;Q15,I15&lt;U15,I15&lt;Y15,I15&lt;AC15,I15&lt;AG15,I15&lt;AK15,I15&lt;AO15,I15&lt;AS15,I15&lt;AW15,I15&lt;BA15,I15&lt;BB15),F15&amp;", - указанный тоннаж по одной из болезней больше, чем общая масса зараженных семян","+")</f>
        <v>Яровой ячмень, - указанный тоннаж по одной из болезней больше, чем общая масса зараженных семян</v>
      </c>
      <c r="BD15" s="56" t="e">
        <f t="shared" ref="BD15:BD27" si="11">(IF(ABS(SUM(N15,R15,V15,Z15,AD15,AH15,AL15,AP15,AT15,AX15)-J15)&gt;0.1,F15&amp;", - указанный средневзвешенный процент поражения болзнями посчитан неверно (не является суммой процентов поражения всеми болезнями)","+"))</f>
        <v>#VALUE!</v>
      </c>
      <c r="BE15" s="56" t="str">
        <f t="shared" ref="BE15:BE27" si="12">IF(OR(L15&lt;P15,L15&lt;T15,L15&lt;X15,L15&lt;AB15,L15&lt;AF15,L15&lt;AJ15,L15&lt;AN15,L15&lt;AR15,L15&lt;AV15,L15&lt;AZ15),F15&amp;", - указанный максимальный процент меньше, чем по одной из болезней","+")</f>
        <v>Яровой ячмень, - указанный максимальный процент меньше, чем по одной из болезней</v>
      </c>
      <c r="BF15" s="55" t="str">
        <f t="shared" si="0"/>
        <v>Яровой ячмень, - масса зараженных семян меньше, чем масса проанализированных семян</v>
      </c>
      <c r="BG15" s="55" t="str">
        <f t="shared" si="1"/>
        <v>+</v>
      </c>
      <c r="BH15" s="55" t="str">
        <f t="shared" si="2"/>
        <v>Яровой ячмень, - как минимум по одной из болезней масса партии с максимальным поражением больше массы пораженных партий</v>
      </c>
      <c r="BI15" s="57"/>
      <c r="BJ15" s="58"/>
      <c r="BK15" s="59" t="e">
        <f t="shared" si="3"/>
        <v>#VALUE!</v>
      </c>
      <c r="BL15" s="59" t="e">
        <f t="shared" si="4"/>
        <v>#VALUE!</v>
      </c>
      <c r="BM15" s="59" t="e">
        <f t="shared" si="5"/>
        <v>#VALUE!</v>
      </c>
      <c r="BN15" s="59" t="e">
        <f t="shared" si="6"/>
        <v>#VALUE!</v>
      </c>
      <c r="BO15" s="59" t="e">
        <f t="shared" si="7"/>
        <v>#VALUE!</v>
      </c>
      <c r="BP15" s="59" t="e">
        <f t="shared" ref="BP15:BP20" si="13">L15-AJ15</f>
        <v>#VALUE!</v>
      </c>
      <c r="BQ15" s="59" t="e">
        <f t="shared" ref="BQ15:BQ27" si="14">L15-AN15</f>
        <v>#VALUE!</v>
      </c>
      <c r="BR15" s="59" t="e">
        <f t="shared" ref="BR15:BR27" si="15">L15-AR15</f>
        <v>#VALUE!</v>
      </c>
      <c r="BS15" s="59" t="e">
        <f t="shared" si="8"/>
        <v>#VALUE!</v>
      </c>
      <c r="BT15" s="59" t="e">
        <f t="shared" si="9"/>
        <v>#VALUE!</v>
      </c>
      <c r="BU15" s="62"/>
      <c r="BV15" s="62"/>
    </row>
    <row r="16" spans="1:74" s="21" customFormat="1" x14ac:dyDescent="0.25">
      <c r="B16" s="72">
        <v>260.26100000000002</v>
      </c>
      <c r="D16" s="63"/>
      <c r="E16" s="47">
        <v>3</v>
      </c>
      <c r="F16" s="28" t="s">
        <v>68</v>
      </c>
      <c r="G16" s="4" t="s">
        <v>127</v>
      </c>
      <c r="H16" s="4" t="s">
        <v>128</v>
      </c>
      <c r="I16" s="4" t="s">
        <v>129</v>
      </c>
      <c r="J16" s="4" t="s">
        <v>130</v>
      </c>
      <c r="K16" s="4" t="s">
        <v>131</v>
      </c>
      <c r="L16" s="4" t="s">
        <v>132</v>
      </c>
      <c r="M16" s="4" t="s">
        <v>133</v>
      </c>
      <c r="N16" s="4" t="s">
        <v>134</v>
      </c>
      <c r="O16" s="4" t="s">
        <v>135</v>
      </c>
      <c r="P16" s="4" t="s">
        <v>136</v>
      </c>
      <c r="Q16" s="4" t="s">
        <v>133</v>
      </c>
      <c r="R16" s="4" t="s">
        <v>134</v>
      </c>
      <c r="S16" s="4" t="s">
        <v>135</v>
      </c>
      <c r="T16" s="4" t="s">
        <v>136</v>
      </c>
      <c r="U16" s="4" t="s">
        <v>133</v>
      </c>
      <c r="V16" s="4" t="s">
        <v>134</v>
      </c>
      <c r="W16" s="4" t="s">
        <v>135</v>
      </c>
      <c r="X16" s="4" t="s">
        <v>136</v>
      </c>
      <c r="Y16" s="4" t="s">
        <v>133</v>
      </c>
      <c r="Z16" s="4" t="s">
        <v>134</v>
      </c>
      <c r="AA16" s="4" t="s">
        <v>135</v>
      </c>
      <c r="AB16" s="4" t="s">
        <v>136</v>
      </c>
      <c r="AC16" s="4" t="s">
        <v>133</v>
      </c>
      <c r="AD16" s="4" t="s">
        <v>134</v>
      </c>
      <c r="AE16" s="4" t="s">
        <v>135</v>
      </c>
      <c r="AF16" s="4" t="s">
        <v>136</v>
      </c>
      <c r="AG16" s="4" t="s">
        <v>133</v>
      </c>
      <c r="AH16" s="4" t="s">
        <v>134</v>
      </c>
      <c r="AI16" s="4" t="s">
        <v>135</v>
      </c>
      <c r="AJ16" s="4" t="s">
        <v>136</v>
      </c>
      <c r="AK16" s="4" t="s">
        <v>133</v>
      </c>
      <c r="AL16" s="4" t="s">
        <v>134</v>
      </c>
      <c r="AM16" s="4" t="s">
        <v>135</v>
      </c>
      <c r="AN16" s="4" t="s">
        <v>136</v>
      </c>
      <c r="AO16" s="4" t="s">
        <v>133</v>
      </c>
      <c r="AP16" s="4" t="s">
        <v>134</v>
      </c>
      <c r="AQ16" s="4" t="s">
        <v>135</v>
      </c>
      <c r="AR16" s="4" t="s">
        <v>136</v>
      </c>
      <c r="AS16" s="4" t="s">
        <v>133</v>
      </c>
      <c r="AT16" s="4" t="s">
        <v>134</v>
      </c>
      <c r="AU16" s="4" t="s">
        <v>135</v>
      </c>
      <c r="AV16" s="4" t="s">
        <v>136</v>
      </c>
      <c r="AW16" s="4" t="s">
        <v>137</v>
      </c>
      <c r="AX16" s="4" t="s">
        <v>138</v>
      </c>
      <c r="AY16" s="4" t="s">
        <v>139</v>
      </c>
      <c r="AZ16" s="4" t="s">
        <v>140</v>
      </c>
      <c r="BA16" s="4" t="s">
        <v>141</v>
      </c>
      <c r="BB16" s="4" t="s">
        <v>141</v>
      </c>
      <c r="BC16" s="55" t="str">
        <f t="shared" si="10"/>
        <v>Овес, - указанный тоннаж по одной из болезней больше, чем общая масса зараженных семян</v>
      </c>
      <c r="BD16" s="56" t="e">
        <f>(IF(ABS(SUM(N16,R16,V16,Z16,AD16,AH16,AL16,AP16,AT16,AX16)-J16)&gt;0.1,F16&amp;", - указанный средневзвешенный процент поражения болзнями посчитан неверно (не является суммой процентов поражения всеми болезнями)","+"))</f>
        <v>#VALUE!</v>
      </c>
      <c r="BE16" s="56" t="str">
        <f t="shared" si="12"/>
        <v>Овес, - указанный максимальный процент меньше, чем по одной из болезней</v>
      </c>
      <c r="BF16" s="55" t="str">
        <f t="shared" si="0"/>
        <v>Овес, - масса зараженных семян меньше, чем масса проанализированных семян</v>
      </c>
      <c r="BG16" s="55" t="str">
        <f>IF(OR(J16&gt;L16,N16&gt;P16,R16&gt;T16,V16&gt;X16,Z16&gt;AB16,AD16&gt;AF16,AH16&gt;AJ16,AL16&gt;AN16,AP16&gt;AR16,AT16&gt;AV16,AX16&gt;AZ16),F16&amp;", - как минимум по одной из болезней средневзвешенный процент больше максимального","+")</f>
        <v>+</v>
      </c>
      <c r="BH16" s="55" t="str">
        <f t="shared" si="2"/>
        <v>Овес, - как минимум по одной из болезней масса партии с максимальным поражением больше массы пораженных партий</v>
      </c>
      <c r="BI16" s="57"/>
      <c r="BJ16" s="58"/>
      <c r="BK16" s="59" t="e">
        <f t="shared" si="3"/>
        <v>#VALUE!</v>
      </c>
      <c r="BL16" s="59" t="e">
        <f t="shared" si="4"/>
        <v>#VALUE!</v>
      </c>
      <c r="BM16" s="59" t="e">
        <f t="shared" si="5"/>
        <v>#VALUE!</v>
      </c>
      <c r="BN16" s="59" t="e">
        <f t="shared" si="6"/>
        <v>#VALUE!</v>
      </c>
      <c r="BO16" s="59" t="e">
        <f t="shared" si="7"/>
        <v>#VALUE!</v>
      </c>
      <c r="BP16" s="59" t="e">
        <f t="shared" si="13"/>
        <v>#VALUE!</v>
      </c>
      <c r="BQ16" s="59" t="e">
        <f t="shared" si="14"/>
        <v>#VALUE!</v>
      </c>
      <c r="BR16" s="59" t="e">
        <f t="shared" si="15"/>
        <v>#VALUE!</v>
      </c>
      <c r="BS16" s="59" t="e">
        <f t="shared" si="8"/>
        <v>#VALUE!</v>
      </c>
      <c r="BT16" s="59" t="e">
        <f t="shared" si="9"/>
        <v>#VALUE!</v>
      </c>
      <c r="BU16" s="62"/>
      <c r="BV16" s="62"/>
    </row>
    <row r="17" spans="1:74" s="21" customFormat="1" ht="31.5" x14ac:dyDescent="0.25">
      <c r="B17" s="72">
        <v>348</v>
      </c>
      <c r="D17" s="63"/>
      <c r="E17" s="47">
        <v>4</v>
      </c>
      <c r="F17" s="28" t="s">
        <v>69</v>
      </c>
      <c r="G17" s="4" t="s">
        <v>127</v>
      </c>
      <c r="H17" s="4" t="s">
        <v>128</v>
      </c>
      <c r="I17" s="4" t="s">
        <v>129</v>
      </c>
      <c r="J17" s="4" t="s">
        <v>130</v>
      </c>
      <c r="K17" s="4" t="s">
        <v>131</v>
      </c>
      <c r="L17" s="4" t="s">
        <v>132</v>
      </c>
      <c r="M17" s="4" t="s">
        <v>133</v>
      </c>
      <c r="N17" s="4" t="s">
        <v>134</v>
      </c>
      <c r="O17" s="4" t="s">
        <v>135</v>
      </c>
      <c r="P17" s="4" t="s">
        <v>136</v>
      </c>
      <c r="Q17" s="4" t="s">
        <v>133</v>
      </c>
      <c r="R17" s="4" t="s">
        <v>134</v>
      </c>
      <c r="S17" s="4" t="s">
        <v>135</v>
      </c>
      <c r="T17" s="4" t="s">
        <v>136</v>
      </c>
      <c r="U17" s="4" t="s">
        <v>133</v>
      </c>
      <c r="V17" s="4" t="s">
        <v>134</v>
      </c>
      <c r="W17" s="4" t="s">
        <v>135</v>
      </c>
      <c r="X17" s="4" t="s">
        <v>136</v>
      </c>
      <c r="Y17" s="4" t="s">
        <v>133</v>
      </c>
      <c r="Z17" s="4" t="s">
        <v>134</v>
      </c>
      <c r="AA17" s="4" t="s">
        <v>135</v>
      </c>
      <c r="AB17" s="4" t="s">
        <v>136</v>
      </c>
      <c r="AC17" s="4" t="s">
        <v>133</v>
      </c>
      <c r="AD17" s="4" t="s">
        <v>134</v>
      </c>
      <c r="AE17" s="4" t="s">
        <v>135</v>
      </c>
      <c r="AF17" s="4" t="s">
        <v>136</v>
      </c>
      <c r="AG17" s="4" t="s">
        <v>133</v>
      </c>
      <c r="AH17" s="4" t="s">
        <v>134</v>
      </c>
      <c r="AI17" s="4" t="s">
        <v>135</v>
      </c>
      <c r="AJ17" s="4" t="s">
        <v>136</v>
      </c>
      <c r="AK17" s="4" t="s">
        <v>133</v>
      </c>
      <c r="AL17" s="4" t="s">
        <v>134</v>
      </c>
      <c r="AM17" s="4" t="s">
        <v>135</v>
      </c>
      <c r="AN17" s="4" t="s">
        <v>136</v>
      </c>
      <c r="AO17" s="4" t="s">
        <v>133</v>
      </c>
      <c r="AP17" s="4" t="s">
        <v>134</v>
      </c>
      <c r="AQ17" s="4" t="s">
        <v>135</v>
      </c>
      <c r="AR17" s="4" t="s">
        <v>136</v>
      </c>
      <c r="AS17" s="4" t="s">
        <v>133</v>
      </c>
      <c r="AT17" s="4" t="s">
        <v>134</v>
      </c>
      <c r="AU17" s="4" t="s">
        <v>135</v>
      </c>
      <c r="AV17" s="4" t="s">
        <v>136</v>
      </c>
      <c r="AW17" s="4" t="s">
        <v>137</v>
      </c>
      <c r="AX17" s="4" t="s">
        <v>138</v>
      </c>
      <c r="AY17" s="4" t="s">
        <v>139</v>
      </c>
      <c r="AZ17" s="4" t="s">
        <v>140</v>
      </c>
      <c r="BA17" s="4" t="s">
        <v>141</v>
      </c>
      <c r="BB17" s="4" t="s">
        <v>141</v>
      </c>
      <c r="BC17" s="55" t="str">
        <f t="shared" si="10"/>
        <v>Яровая рожь, - указанный тоннаж по одной из болезней больше, чем общая масса зараженных семян</v>
      </c>
      <c r="BD17" s="56" t="e">
        <f>(IF(ABS(SUM(N17,R17,V17,Z17,AD17,AH17,AL17,AP17,AT17,AX17)-J17)&gt;0.1,F17&amp;", - указанный средневзвешенный процент поражения болзнями посчитан неверно (не является суммой процентов поражения всеми болезнями)","+"))</f>
        <v>#VALUE!</v>
      </c>
      <c r="BE17" s="56" t="str">
        <f t="shared" si="12"/>
        <v>Яровая рожь, - указанный максимальный процент меньше, чем по одной из болезней</v>
      </c>
      <c r="BF17" s="55" t="str">
        <f t="shared" si="0"/>
        <v>Яровая рожь, - масса зараженных семян меньше, чем масса проанализированных семян</v>
      </c>
      <c r="BG17" s="55" t="str">
        <f>IF(OR(J17&gt;L17,N17&gt;P17,R17&gt;T17,V17&gt;X17,Z17&gt;AB17,AD17&gt;AF17,AH17&gt;AJ17,AL17&gt;AN17,AP17&gt;AR17,AT17&gt;AV17,AX17&gt;AZ17),F17&amp;", - как минимум по одной из болезней средневзвешенный процент больше максимального","+")</f>
        <v>+</v>
      </c>
      <c r="BH17" s="55" t="str">
        <f t="shared" si="2"/>
        <v>Яровая рожь, - как минимум по одной из болезней масса партии с максимальным поражением больше массы пораженных партий</v>
      </c>
      <c r="BI17" s="57"/>
      <c r="BJ17" s="58"/>
      <c r="BK17" s="59" t="e">
        <f t="shared" si="3"/>
        <v>#VALUE!</v>
      </c>
      <c r="BL17" s="59" t="e">
        <f t="shared" si="4"/>
        <v>#VALUE!</v>
      </c>
      <c r="BM17" s="59" t="e">
        <f t="shared" si="5"/>
        <v>#VALUE!</v>
      </c>
      <c r="BN17" s="59" t="e">
        <f t="shared" si="6"/>
        <v>#VALUE!</v>
      </c>
      <c r="BO17" s="59" t="e">
        <f t="shared" si="7"/>
        <v>#VALUE!</v>
      </c>
      <c r="BP17" s="59" t="e">
        <f t="shared" si="13"/>
        <v>#VALUE!</v>
      </c>
      <c r="BQ17" s="59" t="e">
        <f t="shared" si="14"/>
        <v>#VALUE!</v>
      </c>
      <c r="BR17" s="59" t="e">
        <f t="shared" si="15"/>
        <v>#VALUE!</v>
      </c>
      <c r="BS17" s="59" t="e">
        <f t="shared" si="8"/>
        <v>#VALUE!</v>
      </c>
      <c r="BT17" s="59" t="e">
        <f t="shared" si="9"/>
        <v>#VALUE!</v>
      </c>
      <c r="BU17" s="62"/>
      <c r="BV17" s="62"/>
    </row>
    <row r="18" spans="1:74" s="21" customFormat="1" ht="31.5" x14ac:dyDescent="0.25">
      <c r="B18" s="72">
        <v>410</v>
      </c>
      <c r="D18" s="63"/>
      <c r="E18" s="47">
        <v>5</v>
      </c>
      <c r="F18" s="28" t="s">
        <v>70</v>
      </c>
      <c r="G18" s="4" t="s">
        <v>127</v>
      </c>
      <c r="H18" s="4" t="s">
        <v>128</v>
      </c>
      <c r="I18" s="4" t="s">
        <v>129</v>
      </c>
      <c r="J18" s="4" t="s">
        <v>130</v>
      </c>
      <c r="K18" s="4" t="s">
        <v>131</v>
      </c>
      <c r="L18" s="4" t="s">
        <v>132</v>
      </c>
      <c r="M18" s="4" t="s">
        <v>133</v>
      </c>
      <c r="N18" s="4" t="s">
        <v>134</v>
      </c>
      <c r="O18" s="4" t="s">
        <v>135</v>
      </c>
      <c r="P18" s="4" t="s">
        <v>136</v>
      </c>
      <c r="Q18" s="4" t="s">
        <v>133</v>
      </c>
      <c r="R18" s="4" t="s">
        <v>134</v>
      </c>
      <c r="S18" s="4" t="s">
        <v>135</v>
      </c>
      <c r="T18" s="4" t="s">
        <v>136</v>
      </c>
      <c r="U18" s="4" t="s">
        <v>133</v>
      </c>
      <c r="V18" s="4" t="s">
        <v>134</v>
      </c>
      <c r="W18" s="4" t="s">
        <v>135</v>
      </c>
      <c r="X18" s="4" t="s">
        <v>136</v>
      </c>
      <c r="Y18" s="4" t="s">
        <v>133</v>
      </c>
      <c r="Z18" s="4" t="s">
        <v>134</v>
      </c>
      <c r="AA18" s="4" t="s">
        <v>135</v>
      </c>
      <c r="AB18" s="4" t="s">
        <v>136</v>
      </c>
      <c r="AC18" s="4" t="s">
        <v>133</v>
      </c>
      <c r="AD18" s="4" t="s">
        <v>134</v>
      </c>
      <c r="AE18" s="4" t="s">
        <v>135</v>
      </c>
      <c r="AF18" s="4" t="s">
        <v>136</v>
      </c>
      <c r="AG18" s="4" t="s">
        <v>133</v>
      </c>
      <c r="AH18" s="4" t="s">
        <v>134</v>
      </c>
      <c r="AI18" s="4" t="s">
        <v>135</v>
      </c>
      <c r="AJ18" s="4" t="s">
        <v>136</v>
      </c>
      <c r="AK18" s="4" t="s">
        <v>133</v>
      </c>
      <c r="AL18" s="4" t="s">
        <v>134</v>
      </c>
      <c r="AM18" s="4" t="s">
        <v>135</v>
      </c>
      <c r="AN18" s="4" t="s">
        <v>136</v>
      </c>
      <c r="AO18" s="4" t="s">
        <v>133</v>
      </c>
      <c r="AP18" s="4" t="s">
        <v>134</v>
      </c>
      <c r="AQ18" s="4" t="s">
        <v>135</v>
      </c>
      <c r="AR18" s="4" t="s">
        <v>136</v>
      </c>
      <c r="AS18" s="4" t="s">
        <v>133</v>
      </c>
      <c r="AT18" s="4" t="s">
        <v>134</v>
      </c>
      <c r="AU18" s="4" t="s">
        <v>135</v>
      </c>
      <c r="AV18" s="4" t="s">
        <v>136</v>
      </c>
      <c r="AW18" s="4" t="s">
        <v>137</v>
      </c>
      <c r="AX18" s="4" t="s">
        <v>138</v>
      </c>
      <c r="AY18" s="4" t="s">
        <v>139</v>
      </c>
      <c r="AZ18" s="4" t="s">
        <v>140</v>
      </c>
      <c r="BA18" s="4" t="s">
        <v>141</v>
      </c>
      <c r="BB18" s="4" t="s">
        <v>141</v>
      </c>
      <c r="BC18" s="55" t="str">
        <f t="shared" si="10"/>
        <v>Яровая тритикале, - указанный тоннаж по одной из болезней больше, чем общая масса зараженных семян</v>
      </c>
      <c r="BD18" s="56" t="e">
        <f t="shared" si="11"/>
        <v>#VALUE!</v>
      </c>
      <c r="BE18" s="56" t="str">
        <f t="shared" si="12"/>
        <v>Яровая тритикале, - указанный максимальный процент меньше, чем по одной из болезней</v>
      </c>
      <c r="BF18" s="55" t="str">
        <f t="shared" si="0"/>
        <v>Яровая тритикале, - масса зараженных семян меньше, чем масса проанализированных семян</v>
      </c>
      <c r="BG18" s="55" t="str">
        <f t="shared" si="1"/>
        <v>+</v>
      </c>
      <c r="BH18" s="55" t="str">
        <f t="shared" si="2"/>
        <v>Яровая тритикале, - как минимум по одной из болезней масса партии с максимальным поражением больше массы пораженных партий</v>
      </c>
      <c r="BI18" s="57"/>
      <c r="BJ18" s="58"/>
      <c r="BK18" s="59" t="e">
        <f t="shared" si="3"/>
        <v>#VALUE!</v>
      </c>
      <c r="BL18" s="59" t="e">
        <f t="shared" si="4"/>
        <v>#VALUE!</v>
      </c>
      <c r="BM18" s="59" t="e">
        <f t="shared" si="5"/>
        <v>#VALUE!</v>
      </c>
      <c r="BN18" s="59" t="e">
        <f t="shared" si="6"/>
        <v>#VALUE!</v>
      </c>
      <c r="BO18" s="59" t="e">
        <f t="shared" si="7"/>
        <v>#VALUE!</v>
      </c>
      <c r="BP18" s="59" t="e">
        <f t="shared" si="13"/>
        <v>#VALUE!</v>
      </c>
      <c r="BQ18" s="59" t="e">
        <f t="shared" si="14"/>
        <v>#VALUE!</v>
      </c>
      <c r="BR18" s="59" t="e">
        <f t="shared" si="15"/>
        <v>#VALUE!</v>
      </c>
      <c r="BS18" s="59" t="e">
        <f t="shared" si="8"/>
        <v>#VALUE!</v>
      </c>
      <c r="BT18" s="59" t="e">
        <f t="shared" si="9"/>
        <v>#VALUE!</v>
      </c>
      <c r="BU18" s="62"/>
      <c r="BV18" s="62"/>
    </row>
    <row r="19" spans="1:74" s="21" customFormat="1" x14ac:dyDescent="0.25">
      <c r="D19" s="63"/>
      <c r="E19" s="47">
        <v>6</v>
      </c>
      <c r="F19" s="29" t="s">
        <v>71</v>
      </c>
      <c r="G19" s="30">
        <f>SUM(G14:G18)</f>
        <v>0</v>
      </c>
      <c r="H19" s="30">
        <f>SUM(H14:H18)</f>
        <v>0</v>
      </c>
      <c r="I19" s="30">
        <f>SUM(I14:I18)</f>
        <v>0</v>
      </c>
      <c r="J19" s="30" t="e">
        <f>SUM(J14*$I$14,J15*$I$15,J16*$I$16,J17*$I$17,J18*$I$18)/$H$19</f>
        <v>#VALUE!</v>
      </c>
      <c r="K19" s="5" t="e">
        <f>INDEX((K14:K18),MATCH(MAX(L14:L18),(L14:L18),0))</f>
        <v>#N/A</v>
      </c>
      <c r="L19" s="30">
        <f>MAX(L14:L18)</f>
        <v>0</v>
      </c>
      <c r="M19" s="30">
        <f>SUM(M14:M18)</f>
        <v>0</v>
      </c>
      <c r="N19" s="30" t="e">
        <f>SUM(N14*$I$14,N15*$I$15,N16*$I$16,N17*$I$17,N18*$I$18)/$H$19</f>
        <v>#VALUE!</v>
      </c>
      <c r="O19" s="5" t="e">
        <f>INDEX((O14:O18),MATCH(MAX(P14:P18),(P14:P18),0))</f>
        <v>#N/A</v>
      </c>
      <c r="P19" s="30">
        <f>MAX(P14:P18)</f>
        <v>0</v>
      </c>
      <c r="Q19" s="30">
        <f>SUM(Q14:Q18)</f>
        <v>0</v>
      </c>
      <c r="R19" s="30" t="e">
        <f>SUM(R14*$I$14,R15*$I$15,R16*$I$16,R17*$I$17,R18*$I$18)/$H$19</f>
        <v>#VALUE!</v>
      </c>
      <c r="S19" s="5" t="e">
        <f>INDEX((S14:S18),MATCH(MAX(T14:T18),(T14:T18),0))</f>
        <v>#N/A</v>
      </c>
      <c r="T19" s="30">
        <f>MAX(T14:T18)</f>
        <v>0</v>
      </c>
      <c r="U19" s="30">
        <f>SUM(U14:U18)</f>
        <v>0</v>
      </c>
      <c r="V19" s="30" t="e">
        <f>SUM(V14*$I$14,V15*$I$15,V16*$I$16,V17*$I$17,V18*$I$18)/$H$19</f>
        <v>#VALUE!</v>
      </c>
      <c r="W19" s="5" t="e">
        <f>INDEX((W14:W18),MATCH(MAX(X14:X18),(X14:X18),0))</f>
        <v>#N/A</v>
      </c>
      <c r="X19" s="30">
        <f>MAX(X14:X18)</f>
        <v>0</v>
      </c>
      <c r="Y19" s="30">
        <f>SUM(Y14:Y18)</f>
        <v>0</v>
      </c>
      <c r="Z19" s="30" t="e">
        <f>SUM(Z14*$I$14,Z15*$I$15,Z16*$I$16,Z17*$I$17,Z18*$I$18)/$H$19</f>
        <v>#VALUE!</v>
      </c>
      <c r="AA19" s="5" t="e">
        <f>INDEX((AA14:AA18),MATCH(MAX(AB14:AB18),(AB14:AB18),0))</f>
        <v>#N/A</v>
      </c>
      <c r="AB19" s="30">
        <f>MAX(AB14:AB18)</f>
        <v>0</v>
      </c>
      <c r="AC19" s="30">
        <f>SUM(AC14:AC18)</f>
        <v>0</v>
      </c>
      <c r="AD19" s="30" t="e">
        <f>SUM(AD14*$I$14,AD15*$I$15,AD16*$I$16,AD17*$I$17,AD18*$I$18)/$H$19</f>
        <v>#VALUE!</v>
      </c>
      <c r="AE19" s="5" t="e">
        <f>INDEX((AE14:AE18),MATCH(MAX(AF14:AF18),(AF14:AF18),0))</f>
        <v>#N/A</v>
      </c>
      <c r="AF19" s="30">
        <f>MAX(AF14:AF18)</f>
        <v>0</v>
      </c>
      <c r="AG19" s="30">
        <f>SUM(AG14:AG18)</f>
        <v>0</v>
      </c>
      <c r="AH19" s="30" t="e">
        <f>SUM(AH14*$I$14,AH15*$I$15,AH16*$I$16,AH17*$I$17,AH18*$I$18)/$H$19</f>
        <v>#VALUE!</v>
      </c>
      <c r="AI19" s="5" t="e">
        <f>INDEX((AI14:AI18),MATCH(MAX(AJ14:AJ18),(AJ14:AJ18),0))</f>
        <v>#N/A</v>
      </c>
      <c r="AJ19" s="30">
        <f>MAX(AJ14:AJ18)</f>
        <v>0</v>
      </c>
      <c r="AK19" s="30">
        <f>SUM(AK14:AK18)</f>
        <v>0</v>
      </c>
      <c r="AL19" s="30" t="e">
        <f>SUM(AL14*$I$14,AL15*$I$15,AL16*$I$16,AL17*$I$17,AL18*$I$18)/$H$19</f>
        <v>#VALUE!</v>
      </c>
      <c r="AM19" s="5" t="e">
        <f>INDEX((AM14:AM18),MATCH(MAX(AN14:AN18),(AN14:AN18),0))</f>
        <v>#N/A</v>
      </c>
      <c r="AN19" s="30">
        <f>MAX(AN14:AN18)</f>
        <v>0</v>
      </c>
      <c r="AO19" s="30">
        <f>SUM(AO14:AO18)</f>
        <v>0</v>
      </c>
      <c r="AP19" s="30" t="e">
        <f>SUM(AP14*$I$14,AP15*$I$15,AP16*$I$16,AP17*$I$17,AP18*$I$18)/$H$19</f>
        <v>#VALUE!</v>
      </c>
      <c r="AQ19" s="5" t="e">
        <f>INDEX((AQ14:AQ18),MATCH(MAX(AR14:AR18),(AR14:AR18),0))</f>
        <v>#N/A</v>
      </c>
      <c r="AR19" s="30">
        <f>MAX(AR14:AR18)</f>
        <v>0</v>
      </c>
      <c r="AS19" s="30">
        <f>SUM(AS14:AS18)</f>
        <v>0</v>
      </c>
      <c r="AT19" s="30" t="e">
        <f>SUM(AT14*$I$14,AT15*$I$15,AT16*$I$16,AT17*$I$17,AT18*$I$18)/$H$19</f>
        <v>#VALUE!</v>
      </c>
      <c r="AU19" s="5" t="e">
        <f>INDEX((AU14:AU18),MATCH(MAX(AV14:AV18),(AV14:AV18),0))</f>
        <v>#N/A</v>
      </c>
      <c r="AV19" s="30">
        <f>MAX(AV14:AV18)</f>
        <v>0</v>
      </c>
      <c r="AW19" s="30">
        <f>SUM(AW14:AW18)</f>
        <v>0</v>
      </c>
      <c r="AX19" s="30" t="e">
        <f>SUM(AX14*$I$14,AX15*$I$15,AX16*$I$16,AX17*$I$17,AX18*$I$18)/$H$19</f>
        <v>#VALUE!</v>
      </c>
      <c r="AY19" s="5" t="e">
        <f>INDEX((AY14:AY18),MATCH(MAX(AZ14:AZ18),(AZ14:AZ18),0))</f>
        <v>#N/A</v>
      </c>
      <c r="AZ19" s="30">
        <f>MAX(AZ14:AZ18)</f>
        <v>0</v>
      </c>
      <c r="BA19" s="31">
        <f>SUM(BA14:BA18)</f>
        <v>0</v>
      </c>
      <c r="BB19" s="30">
        <f>SUM(BB14:BB18)</f>
        <v>0</v>
      </c>
      <c r="BC19" s="55" t="str">
        <f t="shared" si="10"/>
        <v>+</v>
      </c>
      <c r="BD19" s="56" t="e">
        <f t="shared" si="11"/>
        <v>#VALUE!</v>
      </c>
      <c r="BE19" s="56" t="str">
        <f t="shared" si="12"/>
        <v>+</v>
      </c>
      <c r="BF19" s="55" t="str">
        <f t="shared" si="0"/>
        <v>+</v>
      </c>
      <c r="BG19" s="55" t="e">
        <f t="shared" si="1"/>
        <v>#VALUE!</v>
      </c>
      <c r="BH19" s="55" t="e">
        <f t="shared" si="2"/>
        <v>#N/A</v>
      </c>
      <c r="BI19" s="60"/>
      <c r="BJ19" s="58"/>
      <c r="BK19" s="59">
        <f t="shared" si="3"/>
        <v>0</v>
      </c>
      <c r="BL19" s="59">
        <f t="shared" si="4"/>
        <v>0</v>
      </c>
      <c r="BM19" s="59">
        <f t="shared" si="5"/>
        <v>0</v>
      </c>
      <c r="BN19" s="59">
        <f t="shared" si="6"/>
        <v>0</v>
      </c>
      <c r="BO19" s="59">
        <f t="shared" si="7"/>
        <v>0</v>
      </c>
      <c r="BP19" s="59">
        <f t="shared" si="13"/>
        <v>0</v>
      </c>
      <c r="BQ19" s="59">
        <f t="shared" si="14"/>
        <v>0</v>
      </c>
      <c r="BR19" s="59">
        <f t="shared" si="15"/>
        <v>0</v>
      </c>
      <c r="BS19" s="59">
        <f t="shared" si="8"/>
        <v>0</v>
      </c>
      <c r="BT19" s="59">
        <f t="shared" si="9"/>
        <v>0</v>
      </c>
      <c r="BU19" s="62"/>
      <c r="BV19" s="62"/>
    </row>
    <row r="20" spans="1:74" s="21" customFormat="1" ht="30.75" customHeight="1" x14ac:dyDescent="0.25">
      <c r="D20" s="63"/>
      <c r="E20" s="48">
        <v>7</v>
      </c>
      <c r="F20" s="32" t="s">
        <v>72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33"/>
      <c r="BB20" s="7"/>
      <c r="BC20" s="55" t="str">
        <f t="shared" si="10"/>
        <v>+</v>
      </c>
      <c r="BD20" s="56" t="str">
        <f t="shared" si="11"/>
        <v>+</v>
      </c>
      <c r="BE20" s="56" t="str">
        <f t="shared" si="12"/>
        <v>+</v>
      </c>
      <c r="BF20" s="55" t="str">
        <f t="shared" si="0"/>
        <v>+</v>
      </c>
      <c r="BG20" s="55" t="str">
        <f t="shared" si="1"/>
        <v>+</v>
      </c>
      <c r="BH20" s="55" t="str">
        <f t="shared" si="2"/>
        <v>+</v>
      </c>
      <c r="BI20" s="57"/>
      <c r="BJ20" s="58"/>
      <c r="BK20" s="59">
        <f t="shared" si="3"/>
        <v>0</v>
      </c>
      <c r="BL20" s="59">
        <f t="shared" si="4"/>
        <v>0</v>
      </c>
      <c r="BM20" s="59">
        <f t="shared" si="5"/>
        <v>0</v>
      </c>
      <c r="BN20" s="59">
        <f t="shared" si="6"/>
        <v>0</v>
      </c>
      <c r="BO20" s="59">
        <f t="shared" si="7"/>
        <v>0</v>
      </c>
      <c r="BP20" s="59">
        <f t="shared" si="13"/>
        <v>0</v>
      </c>
      <c r="BQ20" s="59">
        <f t="shared" si="14"/>
        <v>0</v>
      </c>
      <c r="BR20" s="59">
        <f t="shared" si="15"/>
        <v>0</v>
      </c>
      <c r="BS20" s="59">
        <f t="shared" si="8"/>
        <v>0</v>
      </c>
      <c r="BT20" s="59">
        <f t="shared" si="9"/>
        <v>0</v>
      </c>
      <c r="BU20" s="62"/>
      <c r="BV20" s="62"/>
    </row>
    <row r="21" spans="1:74" s="25" customFormat="1" ht="15.75" customHeight="1" x14ac:dyDescent="0.25">
      <c r="A21" s="21"/>
      <c r="B21" s="21"/>
      <c r="C21" s="21"/>
      <c r="D21" s="62"/>
      <c r="E21" s="100" t="s">
        <v>73</v>
      </c>
      <c r="F21" s="101"/>
      <c r="G21" s="101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2"/>
      <c r="BC21" s="55" t="str">
        <f t="shared" si="10"/>
        <v>+</v>
      </c>
      <c r="BD21" s="56" t="str">
        <f t="shared" si="11"/>
        <v>+</v>
      </c>
      <c r="BE21" s="56" t="str">
        <f t="shared" si="12"/>
        <v>+</v>
      </c>
      <c r="BF21" s="55" t="str">
        <f t="shared" si="0"/>
        <v>+</v>
      </c>
      <c r="BG21" s="55" t="str">
        <f t="shared" si="1"/>
        <v>+</v>
      </c>
      <c r="BH21" s="55" t="str">
        <f t="shared" si="2"/>
        <v>+</v>
      </c>
      <c r="BI21" s="61"/>
      <c r="BJ21" s="58"/>
      <c r="BK21" s="59"/>
      <c r="BL21" s="59"/>
      <c r="BM21" s="59"/>
      <c r="BN21" s="59"/>
      <c r="BO21" s="59"/>
      <c r="BP21" s="59"/>
      <c r="BQ21" s="59">
        <f t="shared" si="14"/>
        <v>0</v>
      </c>
      <c r="BR21" s="59">
        <f t="shared" si="15"/>
        <v>0</v>
      </c>
      <c r="BS21" s="59"/>
      <c r="BT21" s="59"/>
      <c r="BU21" s="62"/>
      <c r="BV21" s="62"/>
    </row>
    <row r="22" spans="1:74" s="21" customFormat="1" ht="31.5" x14ac:dyDescent="0.25">
      <c r="B22" s="72" t="s">
        <v>143</v>
      </c>
      <c r="D22" s="63"/>
      <c r="E22" s="46">
        <v>8</v>
      </c>
      <c r="F22" s="26" t="s">
        <v>74</v>
      </c>
      <c r="G22" s="4" t="s">
        <v>127</v>
      </c>
      <c r="H22" s="4" t="s">
        <v>128</v>
      </c>
      <c r="I22" s="4" t="s">
        <v>129</v>
      </c>
      <c r="J22" s="4" t="s">
        <v>130</v>
      </c>
      <c r="K22" s="4" t="s">
        <v>131</v>
      </c>
      <c r="L22" s="4" t="s">
        <v>132</v>
      </c>
      <c r="M22" s="4" t="s">
        <v>133</v>
      </c>
      <c r="N22" s="4" t="s">
        <v>134</v>
      </c>
      <c r="O22" s="4" t="s">
        <v>135</v>
      </c>
      <c r="P22" s="4" t="s">
        <v>136</v>
      </c>
      <c r="Q22" s="4" t="s">
        <v>133</v>
      </c>
      <c r="R22" s="4" t="s">
        <v>134</v>
      </c>
      <c r="S22" s="4" t="s">
        <v>135</v>
      </c>
      <c r="T22" s="4" t="s">
        <v>136</v>
      </c>
      <c r="U22" s="4" t="s">
        <v>133</v>
      </c>
      <c r="V22" s="4" t="s">
        <v>134</v>
      </c>
      <c r="W22" s="4" t="s">
        <v>135</v>
      </c>
      <c r="X22" s="4" t="s">
        <v>136</v>
      </c>
      <c r="Y22" s="4" t="s">
        <v>133</v>
      </c>
      <c r="Z22" s="4" t="s">
        <v>134</v>
      </c>
      <c r="AA22" s="4" t="s">
        <v>135</v>
      </c>
      <c r="AB22" s="4" t="s">
        <v>136</v>
      </c>
      <c r="AC22" s="4" t="s">
        <v>133</v>
      </c>
      <c r="AD22" s="4" t="s">
        <v>134</v>
      </c>
      <c r="AE22" s="4" t="s">
        <v>135</v>
      </c>
      <c r="AF22" s="4" t="s">
        <v>136</v>
      </c>
      <c r="AG22" s="4" t="s">
        <v>133</v>
      </c>
      <c r="AH22" s="4" t="s">
        <v>134</v>
      </c>
      <c r="AI22" s="4" t="s">
        <v>135</v>
      </c>
      <c r="AJ22" s="4" t="s">
        <v>136</v>
      </c>
      <c r="AK22" s="4" t="s">
        <v>133</v>
      </c>
      <c r="AL22" s="4" t="s">
        <v>134</v>
      </c>
      <c r="AM22" s="4" t="s">
        <v>135</v>
      </c>
      <c r="AN22" s="4" t="s">
        <v>136</v>
      </c>
      <c r="AO22" s="4" t="s">
        <v>133</v>
      </c>
      <c r="AP22" s="4" t="s">
        <v>134</v>
      </c>
      <c r="AQ22" s="4" t="s">
        <v>135</v>
      </c>
      <c r="AR22" s="4" t="s">
        <v>136</v>
      </c>
      <c r="AS22" s="4" t="s">
        <v>133</v>
      </c>
      <c r="AT22" s="4" t="s">
        <v>134</v>
      </c>
      <c r="AU22" s="4" t="s">
        <v>135</v>
      </c>
      <c r="AV22" s="4" t="s">
        <v>136</v>
      </c>
      <c r="AW22" s="4" t="s">
        <v>137</v>
      </c>
      <c r="AX22" s="4" t="s">
        <v>138</v>
      </c>
      <c r="AY22" s="4" t="s">
        <v>139</v>
      </c>
      <c r="AZ22" s="4" t="s">
        <v>140</v>
      </c>
      <c r="BA22" s="4" t="s">
        <v>141</v>
      </c>
      <c r="BB22" s="4" t="s">
        <v>141</v>
      </c>
      <c r="BC22" s="55" t="str">
        <f t="shared" si="10"/>
        <v>Озимая пшеница, - указанный тоннаж по одной из болезней больше, чем общая масса зараженных семян</v>
      </c>
      <c r="BD22" s="56" t="e">
        <f t="shared" si="11"/>
        <v>#VALUE!</v>
      </c>
      <c r="BE22" s="56" t="str">
        <f t="shared" si="12"/>
        <v>Озимая пшеница, - указанный максимальный процент меньше, чем по одной из болезней</v>
      </c>
      <c r="BF22" s="55" t="str">
        <f t="shared" si="0"/>
        <v>Озимая пшеница, - масса зараженных семян меньше, чем масса проанализированных семян</v>
      </c>
      <c r="BG22" s="55" t="str">
        <f t="shared" si="1"/>
        <v>+</v>
      </c>
      <c r="BH22" s="55" t="str">
        <f t="shared" si="2"/>
        <v>Озимая пшеница, - как минимум по одной из болезней масса партии с максимальным поражением больше массы пораженных партий</v>
      </c>
      <c r="BI22" s="57"/>
      <c r="BJ22" s="58" t="str">
        <f>IFERROR(((IF(OR(ABS(SUM(N22,R22,V22,Z22,AD22,AT22,AH22,AL22,AP22,AX22)-J22)&gt;0.1,),"ошибка","верно"))),"")</f>
        <v/>
      </c>
      <c r="BK22" s="59"/>
      <c r="BL22" s="59"/>
      <c r="BM22" s="59"/>
      <c r="BN22" s="59"/>
      <c r="BO22" s="59"/>
      <c r="BP22" s="59"/>
      <c r="BQ22" s="59" t="e">
        <f t="shared" si="14"/>
        <v>#VALUE!</v>
      </c>
      <c r="BR22" s="59" t="e">
        <f t="shared" si="15"/>
        <v>#VALUE!</v>
      </c>
      <c r="BS22" s="59"/>
      <c r="BT22" s="59"/>
      <c r="BU22" s="62"/>
      <c r="BV22" s="62"/>
    </row>
    <row r="23" spans="1:74" s="21" customFormat="1" ht="31.5" x14ac:dyDescent="0.25">
      <c r="B23" s="72">
        <v>476</v>
      </c>
      <c r="D23" s="63"/>
      <c r="E23" s="47">
        <v>9</v>
      </c>
      <c r="F23" s="28" t="s">
        <v>75</v>
      </c>
      <c r="G23" s="4" t="s">
        <v>127</v>
      </c>
      <c r="H23" s="4" t="s">
        <v>128</v>
      </c>
      <c r="I23" s="4" t="s">
        <v>129</v>
      </c>
      <c r="J23" s="4" t="s">
        <v>130</v>
      </c>
      <c r="K23" s="4" t="s">
        <v>131</v>
      </c>
      <c r="L23" s="4" t="s">
        <v>132</v>
      </c>
      <c r="M23" s="4" t="s">
        <v>133</v>
      </c>
      <c r="N23" s="4" t="s">
        <v>134</v>
      </c>
      <c r="O23" s="4" t="s">
        <v>135</v>
      </c>
      <c r="P23" s="4" t="s">
        <v>136</v>
      </c>
      <c r="Q23" s="4" t="s">
        <v>133</v>
      </c>
      <c r="R23" s="4" t="s">
        <v>134</v>
      </c>
      <c r="S23" s="4" t="s">
        <v>135</v>
      </c>
      <c r="T23" s="4" t="s">
        <v>136</v>
      </c>
      <c r="U23" s="4" t="s">
        <v>133</v>
      </c>
      <c r="V23" s="4" t="s">
        <v>134</v>
      </c>
      <c r="W23" s="4" t="s">
        <v>135</v>
      </c>
      <c r="X23" s="4" t="s">
        <v>136</v>
      </c>
      <c r="Y23" s="4" t="s">
        <v>133</v>
      </c>
      <c r="Z23" s="4" t="s">
        <v>134</v>
      </c>
      <c r="AA23" s="4" t="s">
        <v>135</v>
      </c>
      <c r="AB23" s="4" t="s">
        <v>136</v>
      </c>
      <c r="AC23" s="4" t="s">
        <v>133</v>
      </c>
      <c r="AD23" s="4" t="s">
        <v>134</v>
      </c>
      <c r="AE23" s="4" t="s">
        <v>135</v>
      </c>
      <c r="AF23" s="4" t="s">
        <v>136</v>
      </c>
      <c r="AG23" s="4" t="s">
        <v>133</v>
      </c>
      <c r="AH23" s="4" t="s">
        <v>134</v>
      </c>
      <c r="AI23" s="4" t="s">
        <v>135</v>
      </c>
      <c r="AJ23" s="4" t="s">
        <v>136</v>
      </c>
      <c r="AK23" s="4" t="s">
        <v>133</v>
      </c>
      <c r="AL23" s="4" t="s">
        <v>134</v>
      </c>
      <c r="AM23" s="4" t="s">
        <v>135</v>
      </c>
      <c r="AN23" s="4" t="s">
        <v>136</v>
      </c>
      <c r="AO23" s="4" t="s">
        <v>133</v>
      </c>
      <c r="AP23" s="4" t="s">
        <v>134</v>
      </c>
      <c r="AQ23" s="4" t="s">
        <v>135</v>
      </c>
      <c r="AR23" s="4" t="s">
        <v>136</v>
      </c>
      <c r="AS23" s="4" t="s">
        <v>133</v>
      </c>
      <c r="AT23" s="4" t="s">
        <v>134</v>
      </c>
      <c r="AU23" s="4" t="s">
        <v>135</v>
      </c>
      <c r="AV23" s="4" t="s">
        <v>136</v>
      </c>
      <c r="AW23" s="4" t="s">
        <v>137</v>
      </c>
      <c r="AX23" s="4" t="s">
        <v>138</v>
      </c>
      <c r="AY23" s="4" t="s">
        <v>139</v>
      </c>
      <c r="AZ23" s="4" t="s">
        <v>140</v>
      </c>
      <c r="BA23" s="4" t="s">
        <v>141</v>
      </c>
      <c r="BB23" s="4" t="s">
        <v>141</v>
      </c>
      <c r="BC23" s="55" t="str">
        <f t="shared" si="10"/>
        <v>Озимый ячмень, - указанный тоннаж по одной из болезней больше, чем общая масса зараженных семян</v>
      </c>
      <c r="BD23" s="56" t="e">
        <f t="shared" si="11"/>
        <v>#VALUE!</v>
      </c>
      <c r="BE23" s="56" t="str">
        <f t="shared" si="12"/>
        <v>Озимый ячмень, - указанный максимальный процент меньше, чем по одной из болезней</v>
      </c>
      <c r="BF23" s="55" t="str">
        <f t="shared" si="0"/>
        <v>Озимый ячмень, - масса зараженных семян меньше, чем масса проанализированных семян</v>
      </c>
      <c r="BG23" s="55" t="str">
        <f t="shared" si="1"/>
        <v>+</v>
      </c>
      <c r="BH23" s="55" t="str">
        <f t="shared" si="2"/>
        <v>Озимый ячмень, - как минимум по одной из болезней масса партии с максимальным поражением больше массы пораженных партий</v>
      </c>
      <c r="BI23" s="57"/>
      <c r="BJ23" s="58" t="str">
        <f>IFERROR(((IF(OR(ABS(SUM(N23,R23,V23,Z23,AD23,AT23,AH23,AL23,AP23,AX23)-J23)&gt;0.1,),"ошибка","верно"))),"")</f>
        <v/>
      </c>
      <c r="BK23" s="59"/>
      <c r="BL23" s="59"/>
      <c r="BM23" s="59"/>
      <c r="BN23" s="59"/>
      <c r="BO23" s="59"/>
      <c r="BP23" s="59"/>
      <c r="BQ23" s="59" t="e">
        <f t="shared" si="14"/>
        <v>#VALUE!</v>
      </c>
      <c r="BR23" s="59" t="e">
        <f t="shared" si="15"/>
        <v>#VALUE!</v>
      </c>
      <c r="BS23" s="59"/>
      <c r="BT23" s="59"/>
      <c r="BU23" s="62"/>
      <c r="BV23" s="62"/>
    </row>
    <row r="24" spans="1:74" s="21" customFormat="1" ht="31.5" x14ac:dyDescent="0.25">
      <c r="B24" s="72">
        <v>347</v>
      </c>
      <c r="D24" s="63"/>
      <c r="E24" s="47">
        <v>10</v>
      </c>
      <c r="F24" s="28" t="s">
        <v>76</v>
      </c>
      <c r="G24" s="4" t="s">
        <v>127</v>
      </c>
      <c r="H24" s="4" t="s">
        <v>128</v>
      </c>
      <c r="I24" s="4" t="s">
        <v>129</v>
      </c>
      <c r="J24" s="4" t="s">
        <v>130</v>
      </c>
      <c r="K24" s="4" t="s">
        <v>131</v>
      </c>
      <c r="L24" s="4" t="s">
        <v>132</v>
      </c>
      <c r="M24" s="4" t="s">
        <v>133</v>
      </c>
      <c r="N24" s="4" t="s">
        <v>134</v>
      </c>
      <c r="O24" s="4" t="s">
        <v>135</v>
      </c>
      <c r="P24" s="4" t="s">
        <v>136</v>
      </c>
      <c r="Q24" s="4" t="s">
        <v>133</v>
      </c>
      <c r="R24" s="4" t="s">
        <v>134</v>
      </c>
      <c r="S24" s="4" t="s">
        <v>135</v>
      </c>
      <c r="T24" s="4" t="s">
        <v>136</v>
      </c>
      <c r="U24" s="4" t="s">
        <v>133</v>
      </c>
      <c r="V24" s="4" t="s">
        <v>134</v>
      </c>
      <c r="W24" s="4" t="s">
        <v>135</v>
      </c>
      <c r="X24" s="4" t="s">
        <v>136</v>
      </c>
      <c r="Y24" s="4" t="s">
        <v>133</v>
      </c>
      <c r="Z24" s="4" t="s">
        <v>134</v>
      </c>
      <c r="AA24" s="4" t="s">
        <v>135</v>
      </c>
      <c r="AB24" s="4" t="s">
        <v>136</v>
      </c>
      <c r="AC24" s="4" t="s">
        <v>133</v>
      </c>
      <c r="AD24" s="4" t="s">
        <v>134</v>
      </c>
      <c r="AE24" s="4" t="s">
        <v>135</v>
      </c>
      <c r="AF24" s="4" t="s">
        <v>136</v>
      </c>
      <c r="AG24" s="4" t="s">
        <v>133</v>
      </c>
      <c r="AH24" s="4" t="s">
        <v>134</v>
      </c>
      <c r="AI24" s="4" t="s">
        <v>135</v>
      </c>
      <c r="AJ24" s="4" t="s">
        <v>136</v>
      </c>
      <c r="AK24" s="4" t="s">
        <v>133</v>
      </c>
      <c r="AL24" s="4" t="s">
        <v>134</v>
      </c>
      <c r="AM24" s="4" t="s">
        <v>135</v>
      </c>
      <c r="AN24" s="4" t="s">
        <v>136</v>
      </c>
      <c r="AO24" s="4" t="s">
        <v>133</v>
      </c>
      <c r="AP24" s="4" t="s">
        <v>134</v>
      </c>
      <c r="AQ24" s="4" t="s">
        <v>135</v>
      </c>
      <c r="AR24" s="4" t="s">
        <v>136</v>
      </c>
      <c r="AS24" s="4" t="s">
        <v>133</v>
      </c>
      <c r="AT24" s="4" t="s">
        <v>134</v>
      </c>
      <c r="AU24" s="4" t="s">
        <v>135</v>
      </c>
      <c r="AV24" s="4" t="s">
        <v>136</v>
      </c>
      <c r="AW24" s="4" t="s">
        <v>137</v>
      </c>
      <c r="AX24" s="4" t="s">
        <v>138</v>
      </c>
      <c r="AY24" s="4" t="s">
        <v>139</v>
      </c>
      <c r="AZ24" s="4" t="s">
        <v>140</v>
      </c>
      <c r="BA24" s="4" t="s">
        <v>141</v>
      </c>
      <c r="BB24" s="4" t="s">
        <v>141</v>
      </c>
      <c r="BC24" s="55" t="str">
        <f t="shared" si="10"/>
        <v>Озимая рожь, - указанный тоннаж по одной из болезней больше, чем общая масса зараженных семян</v>
      </c>
      <c r="BD24" s="56" t="e">
        <f t="shared" si="11"/>
        <v>#VALUE!</v>
      </c>
      <c r="BE24" s="56" t="str">
        <f t="shared" si="12"/>
        <v>Озимая рожь, - указанный максимальный процент меньше, чем по одной из болезней</v>
      </c>
      <c r="BF24" s="55" t="str">
        <f t="shared" si="0"/>
        <v>Озимая рожь, - масса зараженных семян меньше, чем масса проанализированных семян</v>
      </c>
      <c r="BG24" s="55" t="str">
        <f t="shared" si="1"/>
        <v>+</v>
      </c>
      <c r="BH24" s="55" t="str">
        <f t="shared" si="2"/>
        <v>Озимая рожь, - как минимум по одной из болезней масса партии с максимальным поражением больше массы пораженных партий</v>
      </c>
      <c r="BI24" s="57"/>
      <c r="BJ24" s="58" t="str">
        <f>IFERROR(((IF(OR(ABS(SUM(N24,R24,V24,Z24,AD24,AT24,AH24,AL24,AP24,AX24)-J24)&gt;0.1,),"ошибка","верно"))),"")</f>
        <v/>
      </c>
      <c r="BK24" s="59"/>
      <c r="BL24" s="59"/>
      <c r="BM24" s="59"/>
      <c r="BN24" s="59"/>
      <c r="BO24" s="59"/>
      <c r="BP24" s="59"/>
      <c r="BQ24" s="59" t="e">
        <f t="shared" si="14"/>
        <v>#VALUE!</v>
      </c>
      <c r="BR24" s="59" t="e">
        <f t="shared" si="15"/>
        <v>#VALUE!</v>
      </c>
      <c r="BS24" s="59"/>
      <c r="BT24" s="59"/>
      <c r="BU24" s="62"/>
      <c r="BV24" s="62"/>
    </row>
    <row r="25" spans="1:74" s="21" customFormat="1" ht="31.5" x14ac:dyDescent="0.25">
      <c r="B25" s="72">
        <v>409</v>
      </c>
      <c r="D25" s="63"/>
      <c r="E25" s="47">
        <v>11</v>
      </c>
      <c r="F25" s="28" t="s">
        <v>77</v>
      </c>
      <c r="G25" s="4" t="s">
        <v>127</v>
      </c>
      <c r="H25" s="4" t="s">
        <v>128</v>
      </c>
      <c r="I25" s="4" t="s">
        <v>129</v>
      </c>
      <c r="J25" s="4" t="s">
        <v>130</v>
      </c>
      <c r="K25" s="4" t="s">
        <v>131</v>
      </c>
      <c r="L25" s="4" t="s">
        <v>132</v>
      </c>
      <c r="M25" s="4" t="s">
        <v>133</v>
      </c>
      <c r="N25" s="4" t="s">
        <v>134</v>
      </c>
      <c r="O25" s="4" t="s">
        <v>135</v>
      </c>
      <c r="P25" s="4" t="s">
        <v>136</v>
      </c>
      <c r="Q25" s="4" t="s">
        <v>133</v>
      </c>
      <c r="R25" s="4" t="s">
        <v>134</v>
      </c>
      <c r="S25" s="4" t="s">
        <v>135</v>
      </c>
      <c r="T25" s="4" t="s">
        <v>136</v>
      </c>
      <c r="U25" s="4" t="s">
        <v>133</v>
      </c>
      <c r="V25" s="4" t="s">
        <v>134</v>
      </c>
      <c r="W25" s="4" t="s">
        <v>135</v>
      </c>
      <c r="X25" s="4" t="s">
        <v>136</v>
      </c>
      <c r="Y25" s="4" t="s">
        <v>133</v>
      </c>
      <c r="Z25" s="4" t="s">
        <v>134</v>
      </c>
      <c r="AA25" s="4" t="s">
        <v>135</v>
      </c>
      <c r="AB25" s="4" t="s">
        <v>136</v>
      </c>
      <c r="AC25" s="4" t="s">
        <v>133</v>
      </c>
      <c r="AD25" s="4" t="s">
        <v>134</v>
      </c>
      <c r="AE25" s="4" t="s">
        <v>135</v>
      </c>
      <c r="AF25" s="4" t="s">
        <v>136</v>
      </c>
      <c r="AG25" s="4" t="s">
        <v>133</v>
      </c>
      <c r="AH25" s="4" t="s">
        <v>134</v>
      </c>
      <c r="AI25" s="4" t="s">
        <v>135</v>
      </c>
      <c r="AJ25" s="4" t="s">
        <v>136</v>
      </c>
      <c r="AK25" s="4" t="s">
        <v>133</v>
      </c>
      <c r="AL25" s="4" t="s">
        <v>134</v>
      </c>
      <c r="AM25" s="4" t="s">
        <v>135</v>
      </c>
      <c r="AN25" s="4" t="s">
        <v>136</v>
      </c>
      <c r="AO25" s="4" t="s">
        <v>133</v>
      </c>
      <c r="AP25" s="4" t="s">
        <v>134</v>
      </c>
      <c r="AQ25" s="4" t="s">
        <v>135</v>
      </c>
      <c r="AR25" s="4" t="s">
        <v>136</v>
      </c>
      <c r="AS25" s="4" t="s">
        <v>133</v>
      </c>
      <c r="AT25" s="4" t="s">
        <v>134</v>
      </c>
      <c r="AU25" s="4" t="s">
        <v>135</v>
      </c>
      <c r="AV25" s="4" t="s">
        <v>136</v>
      </c>
      <c r="AW25" s="4" t="s">
        <v>137</v>
      </c>
      <c r="AX25" s="4" t="s">
        <v>138</v>
      </c>
      <c r="AY25" s="4" t="s">
        <v>139</v>
      </c>
      <c r="AZ25" s="4" t="s">
        <v>140</v>
      </c>
      <c r="BA25" s="4" t="s">
        <v>141</v>
      </c>
      <c r="BB25" s="4" t="s">
        <v>141</v>
      </c>
      <c r="BC25" s="55" t="str">
        <f t="shared" si="10"/>
        <v>Озимая тритикале, - указанный тоннаж по одной из болезней больше, чем общая масса зараженных семян</v>
      </c>
      <c r="BD25" s="56" t="e">
        <f t="shared" si="11"/>
        <v>#VALUE!</v>
      </c>
      <c r="BE25" s="56" t="str">
        <f t="shared" si="12"/>
        <v>Озимая тритикале, - указанный максимальный процент меньше, чем по одной из болезней</v>
      </c>
      <c r="BF25" s="55" t="str">
        <f t="shared" si="0"/>
        <v>Озимая тритикале, - масса зараженных семян меньше, чем масса проанализированных семян</v>
      </c>
      <c r="BG25" s="55" t="str">
        <f t="shared" si="1"/>
        <v>+</v>
      </c>
      <c r="BH25" s="55" t="str">
        <f t="shared" si="2"/>
        <v>Озимая тритикале, - как минимум по одной из болезней масса партии с максимальным поражением больше массы пораженных партий</v>
      </c>
      <c r="BI25" s="57"/>
      <c r="BJ25" s="58" t="str">
        <f>IFERROR(((IF(OR(ABS(SUM(N25,R25,V25,Z25,AD25,AT25,AH25,AL25,AP25,AX25)-J25)&gt;0.1,),"ошибка","верно"))),"")</f>
        <v/>
      </c>
      <c r="BK25" s="59"/>
      <c r="BL25" s="59"/>
      <c r="BM25" s="59"/>
      <c r="BN25" s="59"/>
      <c r="BO25" s="59"/>
      <c r="BP25" s="59"/>
      <c r="BQ25" s="59" t="e">
        <f t="shared" si="14"/>
        <v>#VALUE!</v>
      </c>
      <c r="BR25" s="59" t="e">
        <f t="shared" si="15"/>
        <v>#VALUE!</v>
      </c>
      <c r="BS25" s="59"/>
      <c r="BT25" s="59"/>
      <c r="BU25" s="62"/>
      <c r="BV25" s="62"/>
    </row>
    <row r="26" spans="1:74" s="21" customFormat="1" x14ac:dyDescent="0.25">
      <c r="D26" s="63"/>
      <c r="E26" s="47">
        <v>12</v>
      </c>
      <c r="F26" s="29" t="s">
        <v>71</v>
      </c>
      <c r="G26" s="30">
        <f>SUM(G22:G25)</f>
        <v>0</v>
      </c>
      <c r="H26" s="30">
        <f>SUM(H22:H25)</f>
        <v>0</v>
      </c>
      <c r="I26" s="30">
        <f>SUM(I22:I25)</f>
        <v>0</v>
      </c>
      <c r="J26" s="30" t="e">
        <f>SUM(J22*$I$22,J23*$I$23,J24*$I$24,J25*$I$25)/$H$26</f>
        <v>#VALUE!</v>
      </c>
      <c r="K26" s="5" t="e">
        <f>INDEX((K22:K25),MATCH(MAX(L22:L25),(L22:L25),0))</f>
        <v>#N/A</v>
      </c>
      <c r="L26" s="30">
        <f>MAX(L22:L25)</f>
        <v>0</v>
      </c>
      <c r="M26" s="30">
        <f>SUM(M22:M25)</f>
        <v>0</v>
      </c>
      <c r="N26" s="30" t="e">
        <f>SUM(N22*$I$22,N23*$I$23,N24*$I$24,N25*$I$25)/$H$26</f>
        <v>#VALUE!</v>
      </c>
      <c r="O26" s="5" t="e">
        <f>INDEX((O22:O25),MATCH(MAX(P22:P25),(P22:P25),0))</f>
        <v>#N/A</v>
      </c>
      <c r="P26" s="30">
        <f>MAX(P22:P25)</f>
        <v>0</v>
      </c>
      <c r="Q26" s="30">
        <f>SUM(Q22:Q25)</f>
        <v>0</v>
      </c>
      <c r="R26" s="30" t="e">
        <f>SUM(R22*$I$22,R23*$I$23,R24*$I$24,R25*$I$25)/$H$26</f>
        <v>#VALUE!</v>
      </c>
      <c r="S26" s="5" t="e">
        <f>INDEX((S22:S25),MATCH(MAX(T22:T25),(T22:T25),0))</f>
        <v>#N/A</v>
      </c>
      <c r="T26" s="30">
        <f>MAX(T22:T25)</f>
        <v>0</v>
      </c>
      <c r="U26" s="30">
        <f>SUM(U22:U25)</f>
        <v>0</v>
      </c>
      <c r="V26" s="30" t="e">
        <f>SUM(V22*$I$22,V23*$I$23,V24*$I$24,V25*$I$25)/$H$26</f>
        <v>#VALUE!</v>
      </c>
      <c r="W26" s="5" t="e">
        <f>INDEX((W22:W25),MATCH(MAX(X22:X25),(X22:X25),0))</f>
        <v>#N/A</v>
      </c>
      <c r="X26" s="30">
        <f>MAX(X22:X25)</f>
        <v>0</v>
      </c>
      <c r="Y26" s="30">
        <f>SUM(Y22:Y25)</f>
        <v>0</v>
      </c>
      <c r="Z26" s="30" t="e">
        <f>SUM(Z22*$I$22,Z23*$I$23,Z24*$I$24,Z25*$I$25)/$H$26</f>
        <v>#VALUE!</v>
      </c>
      <c r="AA26" s="5" t="e">
        <f>INDEX((AA22:AA25),MATCH(MAX(AB22:AB25),(AB22:AB25),0))</f>
        <v>#N/A</v>
      </c>
      <c r="AB26" s="30">
        <f>MAX(AB22:AB25)</f>
        <v>0</v>
      </c>
      <c r="AC26" s="30">
        <f>SUM(AC22:AC25)</f>
        <v>0</v>
      </c>
      <c r="AD26" s="30" t="e">
        <f>SUM(AD22*$I$22,AD23*$I$23,AD24*$I$24,AD25*$I$25)/$H$26</f>
        <v>#VALUE!</v>
      </c>
      <c r="AE26" s="5" t="e">
        <f>INDEX((AE22:AE25),MATCH(MAX(AF22:AF25),(AF22:AF25),0))</f>
        <v>#N/A</v>
      </c>
      <c r="AF26" s="30">
        <f>MAX(AF22:AF25)</f>
        <v>0</v>
      </c>
      <c r="AG26" s="30">
        <f>SUM(AG22:AG25)</f>
        <v>0</v>
      </c>
      <c r="AH26" s="30" t="e">
        <f>SUM(AH22*$I$22,AH23*$I$23,AH24*$I$24,AH25*$I$25)/$H$26</f>
        <v>#VALUE!</v>
      </c>
      <c r="AI26" s="5" t="e">
        <f>INDEX((AI22:AI25),MATCH(MAX(AJ22:AJ25),(AJ22:AJ25),0))</f>
        <v>#N/A</v>
      </c>
      <c r="AJ26" s="30">
        <f>MAX(AJ22:AJ25)</f>
        <v>0</v>
      </c>
      <c r="AK26" s="30">
        <f>SUM(AK22:AK25)</f>
        <v>0</v>
      </c>
      <c r="AL26" s="30" t="e">
        <f>SUM(AL22*$I$22,AL23*$I$23,AL24*$I$24,AL25*$I$25)/$H$26</f>
        <v>#VALUE!</v>
      </c>
      <c r="AM26" s="5" t="e">
        <f>INDEX((AM22:AM25),MATCH(MAX(AN22:AN25),(AN22:AN25),0))</f>
        <v>#N/A</v>
      </c>
      <c r="AN26" s="30">
        <f>MAX(AN22:AN25)</f>
        <v>0</v>
      </c>
      <c r="AO26" s="30">
        <f>SUM(AO22:AO25)</f>
        <v>0</v>
      </c>
      <c r="AP26" s="30" t="e">
        <f>SUM(AP22*$I$22,AP23*$I$23,AP24*$I$24,AP25*$I$25)/$H$26</f>
        <v>#VALUE!</v>
      </c>
      <c r="AQ26" s="5" t="e">
        <f>INDEX((AQ22:AQ25),MATCH(MAX(AR22:AR25),(AR22:AR25),0))</f>
        <v>#N/A</v>
      </c>
      <c r="AR26" s="30">
        <f>MAX(AR22:AR25)</f>
        <v>0</v>
      </c>
      <c r="AS26" s="30">
        <f>SUM(AS22:AS25)</f>
        <v>0</v>
      </c>
      <c r="AT26" s="30" t="e">
        <f>SUM(AT22*$I$22,AT23*$I$23,AT24*$I$24,AT25*$I$25)/$H$26</f>
        <v>#VALUE!</v>
      </c>
      <c r="AU26" s="5" t="e">
        <f>INDEX((AU22:AU25),MATCH(MAX(AV22:AV25),(AV22:AV25),0))</f>
        <v>#N/A</v>
      </c>
      <c r="AV26" s="30">
        <f>MAX(AV22:AV25)</f>
        <v>0</v>
      </c>
      <c r="AW26" s="30">
        <f>SUM(AW22:AW25)</f>
        <v>0</v>
      </c>
      <c r="AX26" s="30" t="e">
        <f>SUM(AX22*$I$22,AX23*$I$23,AX24*$I$24,AX25*$I$25)/$H$26</f>
        <v>#VALUE!</v>
      </c>
      <c r="AY26" s="5" t="e">
        <f>INDEX((AY22:AY25),MATCH(MAX(AZ22:AZ25),(AZ22:AZ25),0))</f>
        <v>#N/A</v>
      </c>
      <c r="AZ26" s="30">
        <f>MAX(AZ22:AZ25)</f>
        <v>0</v>
      </c>
      <c r="BA26" s="31">
        <f>SUM(BA22:BA25)</f>
        <v>0</v>
      </c>
      <c r="BB26" s="30">
        <f>SUM(BB22:BB25)</f>
        <v>0</v>
      </c>
      <c r="BC26" s="55" t="str">
        <f t="shared" si="10"/>
        <v>+</v>
      </c>
      <c r="BD26" s="56" t="e">
        <f t="shared" si="11"/>
        <v>#VALUE!</v>
      </c>
      <c r="BE26" s="56" t="str">
        <f t="shared" si="12"/>
        <v>+</v>
      </c>
      <c r="BF26" s="55" t="str">
        <f t="shared" si="0"/>
        <v>+</v>
      </c>
      <c r="BG26" s="55" t="e">
        <f t="shared" si="1"/>
        <v>#VALUE!</v>
      </c>
      <c r="BH26" s="55" t="e">
        <f t="shared" si="2"/>
        <v>#N/A</v>
      </c>
      <c r="BI26" s="60"/>
      <c r="BJ26" s="58"/>
      <c r="BK26" s="59"/>
      <c r="BL26" s="59"/>
      <c r="BM26" s="59"/>
      <c r="BN26" s="59"/>
      <c r="BO26" s="59"/>
      <c r="BP26" s="59"/>
      <c r="BQ26" s="59">
        <f t="shared" si="14"/>
        <v>0</v>
      </c>
      <c r="BR26" s="59">
        <f t="shared" si="15"/>
        <v>0</v>
      </c>
      <c r="BS26" s="59"/>
      <c r="BT26" s="59"/>
      <c r="BU26" s="62"/>
      <c r="BV26" s="62"/>
    </row>
    <row r="27" spans="1:74" s="21" customFormat="1" ht="30.75" customHeight="1" x14ac:dyDescent="0.25">
      <c r="D27" s="63"/>
      <c r="E27" s="47">
        <v>13</v>
      </c>
      <c r="F27" s="28" t="s">
        <v>72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34"/>
      <c r="BB27" s="7"/>
      <c r="BC27" s="55" t="str">
        <f t="shared" si="10"/>
        <v>+</v>
      </c>
      <c r="BD27" s="56" t="str">
        <f t="shared" si="11"/>
        <v>+</v>
      </c>
      <c r="BE27" s="56" t="str">
        <f t="shared" si="12"/>
        <v>+</v>
      </c>
      <c r="BF27" s="55" t="str">
        <f t="shared" si="0"/>
        <v>+</v>
      </c>
      <c r="BG27" s="55" t="str">
        <f t="shared" si="1"/>
        <v>+</v>
      </c>
      <c r="BH27" s="55" t="str">
        <f t="shared" si="2"/>
        <v>+</v>
      </c>
      <c r="BI27" s="57"/>
      <c r="BJ27" s="58"/>
      <c r="BK27" s="59"/>
      <c r="BL27" s="59"/>
      <c r="BM27" s="59"/>
      <c r="BN27" s="59"/>
      <c r="BO27" s="59"/>
      <c r="BP27" s="59"/>
      <c r="BQ27" s="59">
        <f t="shared" si="14"/>
        <v>0</v>
      </c>
      <c r="BR27" s="59">
        <f t="shared" si="15"/>
        <v>0</v>
      </c>
      <c r="BS27" s="59"/>
      <c r="BT27" s="59"/>
      <c r="BU27" s="62"/>
      <c r="BV27" s="62"/>
    </row>
    <row r="28" spans="1:74" s="21" customFormat="1" ht="17.25" customHeight="1" x14ac:dyDescent="0.25">
      <c r="E28" s="49"/>
      <c r="F28" s="35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</row>
    <row r="29" spans="1:74" s="14" customFormat="1" ht="15.75" customHeight="1" x14ac:dyDescent="0.25">
      <c r="E29" s="44"/>
      <c r="F29" s="99" t="s">
        <v>1</v>
      </c>
      <c r="G29" s="99"/>
      <c r="H29" s="99"/>
      <c r="I29" s="99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  <c r="Z29" s="99"/>
      <c r="AA29" s="99"/>
      <c r="AB29" s="99"/>
      <c r="AC29" s="99"/>
      <c r="BC29" s="17"/>
      <c r="BD29" s="17"/>
    </row>
    <row r="30" spans="1:74" s="14" customFormat="1" ht="18.75" x14ac:dyDescent="0.25">
      <c r="E30" s="44"/>
      <c r="F30" s="99" t="s">
        <v>142</v>
      </c>
      <c r="G30" s="99"/>
      <c r="H30" s="99"/>
      <c r="I30" s="99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  <c r="Z30" s="99"/>
      <c r="AA30" s="99"/>
      <c r="AB30" s="99"/>
      <c r="AC30" s="99"/>
      <c r="BC30" s="17"/>
      <c r="BD30" s="17"/>
    </row>
    <row r="31" spans="1:74" s="14" customFormat="1" ht="21" customHeight="1" x14ac:dyDescent="0.25">
      <c r="E31" s="44"/>
      <c r="F31" s="106" t="s">
        <v>2</v>
      </c>
      <c r="G31" s="106"/>
      <c r="H31" s="106"/>
      <c r="I31" s="106"/>
      <c r="J31" s="106"/>
      <c r="K31" s="106"/>
      <c r="L31" s="106"/>
      <c r="M31" s="106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  <c r="AA31" s="106"/>
      <c r="AB31" s="106"/>
      <c r="AC31" s="106"/>
      <c r="AD31" s="106"/>
      <c r="AE31" s="106"/>
      <c r="AF31" s="106"/>
      <c r="AG31" s="106"/>
      <c r="AH31" s="106"/>
      <c r="AI31" s="106"/>
      <c r="AJ31" s="106"/>
      <c r="AK31" s="106"/>
      <c r="AL31" s="106"/>
      <c r="AM31" s="106"/>
      <c r="AN31" s="106"/>
      <c r="AO31" s="106"/>
      <c r="AP31" s="106"/>
      <c r="AQ31" s="106"/>
      <c r="AR31" s="106"/>
      <c r="AS31" s="106"/>
      <c r="AT31" s="106"/>
      <c r="AU31" s="106"/>
      <c r="AV31" s="106"/>
      <c r="AW31" s="106"/>
      <c r="AX31" s="106"/>
      <c r="AY31" s="106"/>
      <c r="AZ31" s="106"/>
      <c r="BA31" s="106"/>
      <c r="BB31" s="106"/>
      <c r="BC31" s="17"/>
      <c r="BD31" s="17"/>
    </row>
    <row r="32" spans="1:74" s="18" customFormat="1" ht="16.5" customHeight="1" x14ac:dyDescent="0.25">
      <c r="D32" s="73" t="s">
        <v>124</v>
      </c>
      <c r="E32" s="73" t="s">
        <v>3</v>
      </c>
      <c r="F32" s="79" t="s">
        <v>4</v>
      </c>
      <c r="G32" s="82" t="s">
        <v>5</v>
      </c>
      <c r="H32" s="82" t="s">
        <v>6</v>
      </c>
      <c r="I32" s="85" t="s">
        <v>7</v>
      </c>
      <c r="J32" s="86"/>
      <c r="K32" s="86"/>
      <c r="L32" s="87"/>
      <c r="M32" s="91" t="s">
        <v>8</v>
      </c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  <c r="AS32" s="111"/>
      <c r="AT32" s="111"/>
      <c r="AU32" s="111"/>
      <c r="AV32" s="111"/>
      <c r="AW32" s="111"/>
      <c r="AX32" s="111"/>
      <c r="AY32" s="111"/>
      <c r="AZ32" s="112"/>
      <c r="BA32" s="82" t="s">
        <v>9</v>
      </c>
      <c r="BB32" s="82" t="s">
        <v>10</v>
      </c>
      <c r="BC32" s="96" t="s">
        <v>11</v>
      </c>
    </row>
    <row r="33" spans="1:74" s="18" customFormat="1" ht="33.75" customHeight="1" x14ac:dyDescent="0.25">
      <c r="D33" s="74"/>
      <c r="E33" s="74"/>
      <c r="F33" s="80"/>
      <c r="G33" s="83"/>
      <c r="H33" s="83"/>
      <c r="I33" s="108"/>
      <c r="J33" s="109"/>
      <c r="K33" s="109"/>
      <c r="L33" s="110"/>
      <c r="M33" s="94" t="s">
        <v>12</v>
      </c>
      <c r="N33" s="98"/>
      <c r="O33" s="119"/>
      <c r="P33" s="117"/>
      <c r="Q33" s="94" t="s">
        <v>13</v>
      </c>
      <c r="R33" s="98"/>
      <c r="S33" s="98"/>
      <c r="T33" s="95"/>
      <c r="U33" s="94" t="s">
        <v>14</v>
      </c>
      <c r="V33" s="119"/>
      <c r="W33" s="119"/>
      <c r="X33" s="117"/>
      <c r="Y33" s="94" t="s">
        <v>15</v>
      </c>
      <c r="Z33" s="119"/>
      <c r="AA33" s="119"/>
      <c r="AB33" s="117"/>
      <c r="AC33" s="94" t="s">
        <v>16</v>
      </c>
      <c r="AD33" s="119"/>
      <c r="AE33" s="119"/>
      <c r="AF33" s="117"/>
      <c r="AG33" s="94" t="s">
        <v>17</v>
      </c>
      <c r="AH33" s="119"/>
      <c r="AI33" s="119"/>
      <c r="AJ33" s="117"/>
      <c r="AK33" s="94" t="s">
        <v>18</v>
      </c>
      <c r="AL33" s="119"/>
      <c r="AM33" s="119"/>
      <c r="AN33" s="117"/>
      <c r="AO33" s="94" t="s">
        <v>19</v>
      </c>
      <c r="AP33" s="119"/>
      <c r="AQ33" s="119"/>
      <c r="AR33" s="117"/>
      <c r="AS33" s="94" t="s">
        <v>20</v>
      </c>
      <c r="AT33" s="119"/>
      <c r="AU33" s="119"/>
      <c r="AV33" s="117"/>
      <c r="AW33" s="94" t="s">
        <v>21</v>
      </c>
      <c r="AX33" s="98"/>
      <c r="AY33" s="98"/>
      <c r="AZ33" s="95"/>
      <c r="BA33" s="113"/>
      <c r="BB33" s="115"/>
      <c r="BC33" s="118"/>
    </row>
    <row r="34" spans="1:74" s="18" customFormat="1" ht="48.75" customHeight="1" x14ac:dyDescent="0.25">
      <c r="D34" s="74"/>
      <c r="E34" s="74"/>
      <c r="F34" s="80"/>
      <c r="G34" s="83"/>
      <c r="H34" s="83"/>
      <c r="I34" s="94" t="s">
        <v>22</v>
      </c>
      <c r="J34" s="117"/>
      <c r="K34" s="94" t="s">
        <v>23</v>
      </c>
      <c r="L34" s="117"/>
      <c r="M34" s="94" t="s">
        <v>22</v>
      </c>
      <c r="N34" s="117"/>
      <c r="O34" s="94" t="s">
        <v>23</v>
      </c>
      <c r="P34" s="117"/>
      <c r="Q34" s="94" t="s">
        <v>22</v>
      </c>
      <c r="R34" s="117"/>
      <c r="S34" s="94" t="s">
        <v>23</v>
      </c>
      <c r="T34" s="117"/>
      <c r="U34" s="94" t="s">
        <v>22</v>
      </c>
      <c r="V34" s="117"/>
      <c r="W34" s="94" t="s">
        <v>23</v>
      </c>
      <c r="X34" s="117"/>
      <c r="Y34" s="94" t="s">
        <v>22</v>
      </c>
      <c r="Z34" s="117"/>
      <c r="AA34" s="94" t="s">
        <v>23</v>
      </c>
      <c r="AB34" s="117"/>
      <c r="AC34" s="94" t="s">
        <v>22</v>
      </c>
      <c r="AD34" s="117"/>
      <c r="AE34" s="94" t="s">
        <v>23</v>
      </c>
      <c r="AF34" s="117"/>
      <c r="AG34" s="94" t="s">
        <v>22</v>
      </c>
      <c r="AH34" s="117"/>
      <c r="AI34" s="94" t="s">
        <v>23</v>
      </c>
      <c r="AJ34" s="117"/>
      <c r="AK34" s="94" t="s">
        <v>22</v>
      </c>
      <c r="AL34" s="117"/>
      <c r="AM34" s="94" t="s">
        <v>23</v>
      </c>
      <c r="AN34" s="117"/>
      <c r="AO34" s="94" t="s">
        <v>22</v>
      </c>
      <c r="AP34" s="117"/>
      <c r="AQ34" s="94" t="s">
        <v>23</v>
      </c>
      <c r="AR34" s="117"/>
      <c r="AS34" s="94" t="s">
        <v>22</v>
      </c>
      <c r="AT34" s="117"/>
      <c r="AU34" s="94" t="s">
        <v>23</v>
      </c>
      <c r="AV34" s="117"/>
      <c r="AW34" s="94" t="s">
        <v>22</v>
      </c>
      <c r="AX34" s="95"/>
      <c r="AY34" s="94" t="s">
        <v>23</v>
      </c>
      <c r="AZ34" s="95"/>
      <c r="BA34" s="114"/>
      <c r="BB34" s="116"/>
      <c r="BC34" s="118"/>
    </row>
    <row r="35" spans="1:74" s="18" customFormat="1" ht="87" customHeight="1" x14ac:dyDescent="0.25">
      <c r="D35" s="75"/>
      <c r="E35" s="75"/>
      <c r="F35" s="107"/>
      <c r="G35" s="84"/>
      <c r="H35" s="84"/>
      <c r="I35" s="2" t="s">
        <v>24</v>
      </c>
      <c r="J35" s="20" t="s">
        <v>25</v>
      </c>
      <c r="K35" s="2" t="s">
        <v>26</v>
      </c>
      <c r="L35" s="20" t="s">
        <v>25</v>
      </c>
      <c r="M35" s="2" t="s">
        <v>24</v>
      </c>
      <c r="N35" s="20" t="s">
        <v>25</v>
      </c>
      <c r="O35" s="2" t="s">
        <v>26</v>
      </c>
      <c r="P35" s="20" t="s">
        <v>25</v>
      </c>
      <c r="Q35" s="2" t="s">
        <v>24</v>
      </c>
      <c r="R35" s="20" t="s">
        <v>25</v>
      </c>
      <c r="S35" s="2" t="s">
        <v>26</v>
      </c>
      <c r="T35" s="20" t="s">
        <v>25</v>
      </c>
      <c r="U35" s="2" t="s">
        <v>24</v>
      </c>
      <c r="V35" s="20" t="s">
        <v>25</v>
      </c>
      <c r="W35" s="2" t="s">
        <v>26</v>
      </c>
      <c r="X35" s="20" t="s">
        <v>25</v>
      </c>
      <c r="Y35" s="2" t="s">
        <v>24</v>
      </c>
      <c r="Z35" s="20" t="s">
        <v>25</v>
      </c>
      <c r="AA35" s="2" t="s">
        <v>26</v>
      </c>
      <c r="AB35" s="20" t="s">
        <v>25</v>
      </c>
      <c r="AC35" s="2" t="s">
        <v>24</v>
      </c>
      <c r="AD35" s="20" t="s">
        <v>25</v>
      </c>
      <c r="AE35" s="2" t="s">
        <v>26</v>
      </c>
      <c r="AF35" s="20" t="s">
        <v>25</v>
      </c>
      <c r="AG35" s="2" t="s">
        <v>24</v>
      </c>
      <c r="AH35" s="20" t="s">
        <v>25</v>
      </c>
      <c r="AI35" s="2" t="s">
        <v>26</v>
      </c>
      <c r="AJ35" s="20" t="s">
        <v>25</v>
      </c>
      <c r="AK35" s="2" t="s">
        <v>24</v>
      </c>
      <c r="AL35" s="20" t="s">
        <v>25</v>
      </c>
      <c r="AM35" s="2" t="s">
        <v>26</v>
      </c>
      <c r="AN35" s="20" t="s">
        <v>25</v>
      </c>
      <c r="AO35" s="2" t="s">
        <v>24</v>
      </c>
      <c r="AP35" s="20" t="s">
        <v>25</v>
      </c>
      <c r="AQ35" s="2" t="s">
        <v>26</v>
      </c>
      <c r="AR35" s="20" t="s">
        <v>25</v>
      </c>
      <c r="AS35" s="2" t="s">
        <v>24</v>
      </c>
      <c r="AT35" s="20" t="s">
        <v>25</v>
      </c>
      <c r="AU35" s="2" t="s">
        <v>26</v>
      </c>
      <c r="AV35" s="20" t="s">
        <v>25</v>
      </c>
      <c r="AW35" s="2" t="s">
        <v>24</v>
      </c>
      <c r="AX35" s="20" t="s">
        <v>25</v>
      </c>
      <c r="AY35" s="2" t="s">
        <v>26</v>
      </c>
      <c r="AZ35" s="20" t="s">
        <v>25</v>
      </c>
      <c r="BA35" s="2" t="s">
        <v>27</v>
      </c>
      <c r="BB35" s="2" t="s">
        <v>27</v>
      </c>
    </row>
    <row r="36" spans="1:74" s="36" customFormat="1" ht="45" x14ac:dyDescent="0.25">
      <c r="D36" s="52"/>
      <c r="E36" s="50"/>
      <c r="F36" s="2" t="s">
        <v>78</v>
      </c>
      <c r="G36" s="2" t="s">
        <v>79</v>
      </c>
      <c r="H36" s="2" t="s">
        <v>80</v>
      </c>
      <c r="I36" s="2" t="s">
        <v>81</v>
      </c>
      <c r="J36" s="2" t="s">
        <v>82</v>
      </c>
      <c r="K36" s="2" t="s">
        <v>83</v>
      </c>
      <c r="L36" s="2" t="s">
        <v>84</v>
      </c>
      <c r="M36" s="2" t="s">
        <v>85</v>
      </c>
      <c r="N36" s="2" t="s">
        <v>86</v>
      </c>
      <c r="O36" s="2" t="s">
        <v>87</v>
      </c>
      <c r="P36" s="2" t="s">
        <v>88</v>
      </c>
      <c r="Q36" s="2" t="s">
        <v>89</v>
      </c>
      <c r="R36" s="2" t="s">
        <v>90</v>
      </c>
      <c r="S36" s="2" t="s">
        <v>91</v>
      </c>
      <c r="T36" s="2" t="s">
        <v>92</v>
      </c>
      <c r="U36" s="2" t="s">
        <v>93</v>
      </c>
      <c r="V36" s="2" t="s">
        <v>94</v>
      </c>
      <c r="W36" s="2" t="s">
        <v>95</v>
      </c>
      <c r="X36" s="2" t="s">
        <v>96</v>
      </c>
      <c r="Y36" s="2" t="s">
        <v>97</v>
      </c>
      <c r="Z36" s="2" t="s">
        <v>98</v>
      </c>
      <c r="AA36" s="2" t="s">
        <v>99</v>
      </c>
      <c r="AB36" s="2" t="s">
        <v>100</v>
      </c>
      <c r="AC36" s="2" t="s">
        <v>101</v>
      </c>
      <c r="AD36" s="2" t="s">
        <v>102</v>
      </c>
      <c r="AE36" s="2" t="s">
        <v>103</v>
      </c>
      <c r="AF36" s="2" t="s">
        <v>104</v>
      </c>
      <c r="AG36" s="2" t="s">
        <v>105</v>
      </c>
      <c r="AH36" s="2" t="s">
        <v>106</v>
      </c>
      <c r="AI36" s="2" t="s">
        <v>107</v>
      </c>
      <c r="AJ36" s="2" t="s">
        <v>108</v>
      </c>
      <c r="AK36" s="2" t="s">
        <v>105</v>
      </c>
      <c r="AL36" s="2" t="s">
        <v>106</v>
      </c>
      <c r="AM36" s="2" t="s">
        <v>107</v>
      </c>
      <c r="AN36" s="2" t="s">
        <v>108</v>
      </c>
      <c r="AO36" s="2" t="s">
        <v>105</v>
      </c>
      <c r="AP36" s="2" t="s">
        <v>106</v>
      </c>
      <c r="AQ36" s="2" t="s">
        <v>107</v>
      </c>
      <c r="AR36" s="2" t="s">
        <v>108</v>
      </c>
      <c r="AS36" s="2" t="s">
        <v>105</v>
      </c>
      <c r="AT36" s="2" t="s">
        <v>106</v>
      </c>
      <c r="AU36" s="2" t="s">
        <v>107</v>
      </c>
      <c r="AV36" s="2" t="s">
        <v>108</v>
      </c>
      <c r="AW36" s="2" t="s">
        <v>109</v>
      </c>
      <c r="AX36" s="2" t="s">
        <v>110</v>
      </c>
      <c r="AY36" s="2" t="s">
        <v>111</v>
      </c>
      <c r="AZ36" s="2" t="s">
        <v>112</v>
      </c>
      <c r="BA36" s="2" t="s">
        <v>113</v>
      </c>
      <c r="BB36" s="2" t="s">
        <v>114</v>
      </c>
      <c r="BC36" s="37"/>
    </row>
    <row r="37" spans="1:74" s="21" customFormat="1" ht="31.5" x14ac:dyDescent="0.25">
      <c r="A37" s="21" t="s">
        <v>122</v>
      </c>
      <c r="B37" s="72" t="s">
        <v>143</v>
      </c>
      <c r="D37" s="62"/>
      <c r="E37" s="51">
        <v>1</v>
      </c>
      <c r="F37" s="38" t="s">
        <v>74</v>
      </c>
      <c r="G37" s="4" t="s">
        <v>127</v>
      </c>
      <c r="H37" s="4" t="s">
        <v>128</v>
      </c>
      <c r="I37" s="4" t="s">
        <v>129</v>
      </c>
      <c r="J37" s="4" t="s">
        <v>130</v>
      </c>
      <c r="K37" s="4" t="s">
        <v>131</v>
      </c>
      <c r="L37" s="4" t="s">
        <v>132</v>
      </c>
      <c r="M37" s="4" t="s">
        <v>133</v>
      </c>
      <c r="N37" s="4" t="s">
        <v>134</v>
      </c>
      <c r="O37" s="4" t="s">
        <v>135</v>
      </c>
      <c r="P37" s="4" t="s">
        <v>136</v>
      </c>
      <c r="Q37" s="4" t="s">
        <v>133</v>
      </c>
      <c r="R37" s="4" t="s">
        <v>134</v>
      </c>
      <c r="S37" s="4" t="s">
        <v>135</v>
      </c>
      <c r="T37" s="4" t="s">
        <v>136</v>
      </c>
      <c r="U37" s="4" t="s">
        <v>133</v>
      </c>
      <c r="V37" s="4" t="s">
        <v>134</v>
      </c>
      <c r="W37" s="4" t="s">
        <v>135</v>
      </c>
      <c r="X37" s="4" t="s">
        <v>136</v>
      </c>
      <c r="Y37" s="4" t="s">
        <v>133</v>
      </c>
      <c r="Z37" s="4" t="s">
        <v>134</v>
      </c>
      <c r="AA37" s="4" t="s">
        <v>135</v>
      </c>
      <c r="AB37" s="4" t="s">
        <v>136</v>
      </c>
      <c r="AC37" s="4" t="s">
        <v>133</v>
      </c>
      <c r="AD37" s="4" t="s">
        <v>134</v>
      </c>
      <c r="AE37" s="4" t="s">
        <v>135</v>
      </c>
      <c r="AF37" s="4" t="s">
        <v>136</v>
      </c>
      <c r="AG37" s="4" t="s">
        <v>133</v>
      </c>
      <c r="AH37" s="4" t="s">
        <v>134</v>
      </c>
      <c r="AI37" s="4" t="s">
        <v>135</v>
      </c>
      <c r="AJ37" s="4" t="s">
        <v>136</v>
      </c>
      <c r="AK37" s="4" t="s">
        <v>133</v>
      </c>
      <c r="AL37" s="4" t="s">
        <v>134</v>
      </c>
      <c r="AM37" s="4" t="s">
        <v>135</v>
      </c>
      <c r="AN37" s="4" t="s">
        <v>136</v>
      </c>
      <c r="AO37" s="4" t="s">
        <v>133</v>
      </c>
      <c r="AP37" s="4" t="s">
        <v>134</v>
      </c>
      <c r="AQ37" s="4" t="s">
        <v>135</v>
      </c>
      <c r="AR37" s="4" t="s">
        <v>136</v>
      </c>
      <c r="AS37" s="4" t="s">
        <v>133</v>
      </c>
      <c r="AT37" s="4" t="s">
        <v>134</v>
      </c>
      <c r="AU37" s="4" t="s">
        <v>135</v>
      </c>
      <c r="AV37" s="4" t="s">
        <v>136</v>
      </c>
      <c r="AW37" s="4" t="s">
        <v>137</v>
      </c>
      <c r="AX37" s="4" t="s">
        <v>138</v>
      </c>
      <c r="AY37" s="4" t="s">
        <v>139</v>
      </c>
      <c r="AZ37" s="4" t="s">
        <v>140</v>
      </c>
      <c r="BA37" s="4" t="s">
        <v>141</v>
      </c>
      <c r="BB37" s="4" t="s">
        <v>141</v>
      </c>
      <c r="BC37" s="27" t="str">
        <f t="shared" ref="BC37:BC41" si="16">IF(OR(I37&lt;M37,I37&lt;Q37,I37&lt;U37,I37&lt;Y37,I37&lt;AC37,I37&lt;AG37,I37&lt;AK37,I37&lt;AO37,I37&lt;AS37,I37&lt;AW37,I37&lt;BA37,I37&lt;BB37),F37&amp;", - указанный тоннаж по одной из болезней больше, чем общая масса зараженных семян","+")</f>
        <v>Озимая пшеница, - указанный тоннаж по одной из болезней больше, чем общая масса зараженных семян</v>
      </c>
      <c r="BD37" s="64" t="e">
        <f t="shared" ref="BD37:BD41" si="17">(IF(ABS(SUM(N37,R37,V37,Z37,AD37,AH37,AL37,AP37,AT37,AX37)-J37)&gt;0.1,F37&amp;", - указанный средневзвешенный процент поражения болзнями посчитан неверно (не является суммой процентов поражения всеми болезнями)","+"))</f>
        <v>#VALUE!</v>
      </c>
      <c r="BE37" s="64" t="str">
        <f t="shared" ref="BE37:BE41" si="18">IF(OR(L37&lt;P37,L37&lt;T37,L37&lt;X37,L37&lt;AB37,L37&lt;AF37,L37&lt;AJ37,L37&lt;AN37,L37&lt;AR37,L37&lt;AV37,L37&lt;AZ37),F37&amp;", - указанный максимальный процент меньше, чем по одной из болезней","+")</f>
        <v>Озимая пшеница, - указанный максимальный процент меньше, чем по одной из болезней</v>
      </c>
      <c r="BF37" s="27" t="str">
        <f t="shared" ref="BF37:BF41" si="19">IF(H37&lt;I37,F37&amp;", - масса зараженных семян меньше, чем масса проанализированных семян","+")</f>
        <v>Озимая пшеница, - масса зараженных семян меньше, чем масса проанализированных семян</v>
      </c>
      <c r="BG37" s="27" t="str">
        <f t="shared" ref="BG37:BG41" si="20">IF(OR(J37&gt;L37,N37&gt;P37,R37&gt;T37,V37&gt;X37,Z37&gt;AB37,AD37&gt;AF37,AH37&gt;AJ37,AL37&gt;AN37,AP37&gt;AR37,AT37&gt;AV37,AX37&gt;AZ37),F37&amp;", - как минимум по одной из болезней средневзвешенный процент больше максимального","+")</f>
        <v>+</v>
      </c>
      <c r="BH37" s="27" t="str">
        <f t="shared" ref="BH37:BH41" si="21">IF(OR(K37&gt;I37,O37&gt;M37,S37&gt;Q37,W37&gt;U37,AA37&gt;Y37,AE37&gt;AC37,AI37&gt;AG37,AM37&gt;AK37,AQ37&gt;AO37,AU37&gt;AS37,AY37&gt;AW37),F37&amp;", - как минимум по одной из болезней масса партии с максимальным поражением больше массы пораженных партий","+")</f>
        <v>Озимая пшеница, - как минимум по одной из болезней масса партии с максимальным поражением больше массы пораженных партий</v>
      </c>
      <c r="BI37" s="67"/>
      <c r="BJ37" s="58" t="str">
        <f t="shared" ref="BJ37:BJ40" si="22">IFERROR(((IF(OR(ABS(SUM(N37,R37,V37,Z37,AD37,AT37,AH37,AL37,AP37,AX37)-J37)&gt;0.1,),"ошибка","верно"))),"")</f>
        <v/>
      </c>
      <c r="BK37" s="66"/>
      <c r="BL37" s="66"/>
      <c r="BM37" s="66"/>
      <c r="BN37" s="66"/>
      <c r="BO37" s="66"/>
      <c r="BP37" s="66"/>
      <c r="BQ37" s="66" t="e">
        <f t="shared" ref="BQ37:BQ41" si="23">L37-AN37</f>
        <v>#VALUE!</v>
      </c>
      <c r="BR37" s="66" t="e">
        <f t="shared" ref="BR37:BR41" si="24">L37-AR37</f>
        <v>#VALUE!</v>
      </c>
      <c r="BU37" s="62"/>
      <c r="BV37" s="62"/>
    </row>
    <row r="38" spans="1:74" s="21" customFormat="1" ht="31.5" x14ac:dyDescent="0.25">
      <c r="A38" s="21" t="s">
        <v>122</v>
      </c>
      <c r="B38" s="21">
        <v>476</v>
      </c>
      <c r="D38" s="63"/>
      <c r="E38" s="52">
        <v>2</v>
      </c>
      <c r="F38" s="39" t="s">
        <v>75</v>
      </c>
      <c r="G38" s="4" t="s">
        <v>127</v>
      </c>
      <c r="H38" s="4" t="s">
        <v>128</v>
      </c>
      <c r="I38" s="4" t="s">
        <v>129</v>
      </c>
      <c r="J38" s="4" t="s">
        <v>130</v>
      </c>
      <c r="K38" s="4" t="s">
        <v>131</v>
      </c>
      <c r="L38" s="4" t="s">
        <v>132</v>
      </c>
      <c r="M38" s="4" t="s">
        <v>133</v>
      </c>
      <c r="N38" s="4" t="s">
        <v>134</v>
      </c>
      <c r="O38" s="4" t="s">
        <v>135</v>
      </c>
      <c r="P38" s="4" t="s">
        <v>136</v>
      </c>
      <c r="Q38" s="4" t="s">
        <v>133</v>
      </c>
      <c r="R38" s="4" t="s">
        <v>134</v>
      </c>
      <c r="S38" s="4" t="s">
        <v>135</v>
      </c>
      <c r="T38" s="4" t="s">
        <v>136</v>
      </c>
      <c r="U38" s="4" t="s">
        <v>133</v>
      </c>
      <c r="V38" s="4" t="s">
        <v>134</v>
      </c>
      <c r="W38" s="4" t="s">
        <v>135</v>
      </c>
      <c r="X38" s="4" t="s">
        <v>136</v>
      </c>
      <c r="Y38" s="4" t="s">
        <v>133</v>
      </c>
      <c r="Z38" s="4" t="s">
        <v>134</v>
      </c>
      <c r="AA38" s="4" t="s">
        <v>135</v>
      </c>
      <c r="AB38" s="4" t="s">
        <v>136</v>
      </c>
      <c r="AC38" s="4" t="s">
        <v>133</v>
      </c>
      <c r="AD38" s="4" t="s">
        <v>134</v>
      </c>
      <c r="AE38" s="4" t="s">
        <v>135</v>
      </c>
      <c r="AF38" s="4" t="s">
        <v>136</v>
      </c>
      <c r="AG38" s="4" t="s">
        <v>133</v>
      </c>
      <c r="AH38" s="4" t="s">
        <v>134</v>
      </c>
      <c r="AI38" s="4" t="s">
        <v>135</v>
      </c>
      <c r="AJ38" s="4" t="s">
        <v>136</v>
      </c>
      <c r="AK38" s="4" t="s">
        <v>133</v>
      </c>
      <c r="AL38" s="4" t="s">
        <v>134</v>
      </c>
      <c r="AM38" s="4" t="s">
        <v>135</v>
      </c>
      <c r="AN38" s="4" t="s">
        <v>136</v>
      </c>
      <c r="AO38" s="4" t="s">
        <v>133</v>
      </c>
      <c r="AP38" s="4" t="s">
        <v>134</v>
      </c>
      <c r="AQ38" s="4" t="s">
        <v>135</v>
      </c>
      <c r="AR38" s="4" t="s">
        <v>136</v>
      </c>
      <c r="AS38" s="4" t="s">
        <v>133</v>
      </c>
      <c r="AT38" s="4" t="s">
        <v>134</v>
      </c>
      <c r="AU38" s="4" t="s">
        <v>135</v>
      </c>
      <c r="AV38" s="4" t="s">
        <v>136</v>
      </c>
      <c r="AW38" s="4" t="s">
        <v>137</v>
      </c>
      <c r="AX38" s="4" t="s">
        <v>138</v>
      </c>
      <c r="AY38" s="4" t="s">
        <v>139</v>
      </c>
      <c r="AZ38" s="4" t="s">
        <v>140</v>
      </c>
      <c r="BA38" s="4" t="s">
        <v>141</v>
      </c>
      <c r="BB38" s="4" t="s">
        <v>141</v>
      </c>
      <c r="BC38" s="27" t="str">
        <f t="shared" si="16"/>
        <v>Озимый ячмень, - указанный тоннаж по одной из болезней больше, чем общая масса зараженных семян</v>
      </c>
      <c r="BD38" s="64" t="e">
        <f t="shared" si="17"/>
        <v>#VALUE!</v>
      </c>
      <c r="BE38" s="64" t="str">
        <f t="shared" si="18"/>
        <v>Озимый ячмень, - указанный максимальный процент меньше, чем по одной из болезней</v>
      </c>
      <c r="BF38" s="27" t="str">
        <f t="shared" si="19"/>
        <v>Озимый ячмень, - масса зараженных семян меньше, чем масса проанализированных семян</v>
      </c>
      <c r="BG38" s="27" t="str">
        <f t="shared" si="20"/>
        <v>+</v>
      </c>
      <c r="BH38" s="27" t="str">
        <f t="shared" si="21"/>
        <v>Озимый ячмень, - как минимум по одной из болезней масса партии с максимальным поражением больше массы пораженных партий</v>
      </c>
      <c r="BI38" s="67"/>
      <c r="BJ38" s="58" t="str">
        <f t="shared" si="22"/>
        <v/>
      </c>
      <c r="BK38" s="66"/>
      <c r="BL38" s="66"/>
      <c r="BM38" s="66"/>
      <c r="BN38" s="66"/>
      <c r="BO38" s="66"/>
      <c r="BP38" s="66"/>
      <c r="BQ38" s="66" t="e">
        <f t="shared" si="23"/>
        <v>#VALUE!</v>
      </c>
      <c r="BR38" s="66" t="e">
        <f t="shared" si="24"/>
        <v>#VALUE!</v>
      </c>
      <c r="BU38" s="62"/>
      <c r="BV38" s="62"/>
    </row>
    <row r="39" spans="1:74" s="21" customFormat="1" ht="23.25" customHeight="1" x14ac:dyDescent="0.25">
      <c r="A39" s="21" t="s">
        <v>122</v>
      </c>
      <c r="B39" s="21">
        <v>347</v>
      </c>
      <c r="D39" s="63"/>
      <c r="E39" s="52">
        <v>3</v>
      </c>
      <c r="F39" s="39" t="s">
        <v>76</v>
      </c>
      <c r="G39" s="4" t="s">
        <v>127</v>
      </c>
      <c r="H39" s="4" t="s">
        <v>128</v>
      </c>
      <c r="I39" s="4" t="s">
        <v>129</v>
      </c>
      <c r="J39" s="4" t="s">
        <v>130</v>
      </c>
      <c r="K39" s="4" t="s">
        <v>131</v>
      </c>
      <c r="L39" s="4" t="s">
        <v>132</v>
      </c>
      <c r="M39" s="4" t="s">
        <v>133</v>
      </c>
      <c r="N39" s="4" t="s">
        <v>134</v>
      </c>
      <c r="O39" s="4" t="s">
        <v>135</v>
      </c>
      <c r="P39" s="4" t="s">
        <v>136</v>
      </c>
      <c r="Q39" s="4" t="s">
        <v>133</v>
      </c>
      <c r="R39" s="4" t="s">
        <v>134</v>
      </c>
      <c r="S39" s="4" t="s">
        <v>135</v>
      </c>
      <c r="T39" s="4" t="s">
        <v>136</v>
      </c>
      <c r="U39" s="4" t="s">
        <v>133</v>
      </c>
      <c r="V39" s="4" t="s">
        <v>134</v>
      </c>
      <c r="W39" s="4" t="s">
        <v>135</v>
      </c>
      <c r="X39" s="4" t="s">
        <v>136</v>
      </c>
      <c r="Y39" s="4" t="s">
        <v>133</v>
      </c>
      <c r="Z39" s="4" t="s">
        <v>134</v>
      </c>
      <c r="AA39" s="4" t="s">
        <v>135</v>
      </c>
      <c r="AB39" s="4" t="s">
        <v>136</v>
      </c>
      <c r="AC39" s="4" t="s">
        <v>133</v>
      </c>
      <c r="AD39" s="4" t="s">
        <v>134</v>
      </c>
      <c r="AE39" s="4" t="s">
        <v>135</v>
      </c>
      <c r="AF39" s="4" t="s">
        <v>136</v>
      </c>
      <c r="AG39" s="4" t="s">
        <v>133</v>
      </c>
      <c r="AH39" s="4" t="s">
        <v>134</v>
      </c>
      <c r="AI39" s="4" t="s">
        <v>135</v>
      </c>
      <c r="AJ39" s="4" t="s">
        <v>136</v>
      </c>
      <c r="AK39" s="4" t="s">
        <v>133</v>
      </c>
      <c r="AL39" s="4" t="s">
        <v>134</v>
      </c>
      <c r="AM39" s="4" t="s">
        <v>135</v>
      </c>
      <c r="AN39" s="4" t="s">
        <v>136</v>
      </c>
      <c r="AO39" s="4" t="s">
        <v>133</v>
      </c>
      <c r="AP39" s="4" t="s">
        <v>134</v>
      </c>
      <c r="AQ39" s="4" t="s">
        <v>135</v>
      </c>
      <c r="AR39" s="4" t="s">
        <v>136</v>
      </c>
      <c r="AS39" s="4" t="s">
        <v>133</v>
      </c>
      <c r="AT39" s="4" t="s">
        <v>134</v>
      </c>
      <c r="AU39" s="4" t="s">
        <v>135</v>
      </c>
      <c r="AV39" s="4" t="s">
        <v>136</v>
      </c>
      <c r="AW39" s="4" t="s">
        <v>137</v>
      </c>
      <c r="AX39" s="4" t="s">
        <v>138</v>
      </c>
      <c r="AY39" s="4" t="s">
        <v>139</v>
      </c>
      <c r="AZ39" s="4" t="s">
        <v>140</v>
      </c>
      <c r="BA39" s="4" t="s">
        <v>141</v>
      </c>
      <c r="BB39" s="4" t="s">
        <v>141</v>
      </c>
      <c r="BC39" s="27" t="str">
        <f t="shared" si="16"/>
        <v>Озимая рожь, - указанный тоннаж по одной из болезней больше, чем общая масса зараженных семян</v>
      </c>
      <c r="BD39" s="64" t="e">
        <f t="shared" si="17"/>
        <v>#VALUE!</v>
      </c>
      <c r="BE39" s="64" t="str">
        <f t="shared" si="18"/>
        <v>Озимая рожь, - указанный максимальный процент меньше, чем по одной из болезней</v>
      </c>
      <c r="BF39" s="27" t="str">
        <f t="shared" si="19"/>
        <v>Озимая рожь, - масса зараженных семян меньше, чем масса проанализированных семян</v>
      </c>
      <c r="BG39" s="27" t="str">
        <f t="shared" si="20"/>
        <v>+</v>
      </c>
      <c r="BH39" s="27" t="str">
        <f t="shared" si="21"/>
        <v>Озимая рожь, - как минимум по одной из болезней масса партии с максимальным поражением больше массы пораженных партий</v>
      </c>
      <c r="BI39" s="67"/>
      <c r="BJ39" s="58" t="str">
        <f t="shared" si="22"/>
        <v/>
      </c>
      <c r="BK39" s="66"/>
      <c r="BL39" s="66"/>
      <c r="BM39" s="66"/>
      <c r="BN39" s="66"/>
      <c r="BO39" s="66"/>
      <c r="BP39" s="66"/>
      <c r="BQ39" s="66" t="e">
        <f t="shared" si="23"/>
        <v>#VALUE!</v>
      </c>
      <c r="BR39" s="66" t="e">
        <f t="shared" si="24"/>
        <v>#VALUE!</v>
      </c>
      <c r="BU39" s="62"/>
      <c r="BV39" s="62"/>
    </row>
    <row r="40" spans="1:74" s="21" customFormat="1" ht="31.5" x14ac:dyDescent="0.25">
      <c r="A40" s="21" t="s">
        <v>122</v>
      </c>
      <c r="B40" s="21">
        <v>409</v>
      </c>
      <c r="D40" s="63"/>
      <c r="E40" s="52">
        <v>4</v>
      </c>
      <c r="F40" s="39" t="s">
        <v>77</v>
      </c>
      <c r="G40" s="4" t="s">
        <v>127</v>
      </c>
      <c r="H40" s="4" t="s">
        <v>128</v>
      </c>
      <c r="I40" s="4" t="s">
        <v>129</v>
      </c>
      <c r="J40" s="4" t="s">
        <v>130</v>
      </c>
      <c r="K40" s="4" t="s">
        <v>131</v>
      </c>
      <c r="L40" s="4" t="s">
        <v>132</v>
      </c>
      <c r="M40" s="4" t="s">
        <v>133</v>
      </c>
      <c r="N40" s="4" t="s">
        <v>134</v>
      </c>
      <c r="O40" s="4" t="s">
        <v>135</v>
      </c>
      <c r="P40" s="4" t="s">
        <v>136</v>
      </c>
      <c r="Q40" s="4" t="s">
        <v>133</v>
      </c>
      <c r="R40" s="4" t="s">
        <v>134</v>
      </c>
      <c r="S40" s="4" t="s">
        <v>135</v>
      </c>
      <c r="T40" s="4" t="s">
        <v>136</v>
      </c>
      <c r="U40" s="4" t="s">
        <v>133</v>
      </c>
      <c r="V40" s="4" t="s">
        <v>134</v>
      </c>
      <c r="W40" s="4" t="s">
        <v>135</v>
      </c>
      <c r="X40" s="4" t="s">
        <v>136</v>
      </c>
      <c r="Y40" s="4" t="s">
        <v>133</v>
      </c>
      <c r="Z40" s="4" t="s">
        <v>134</v>
      </c>
      <c r="AA40" s="4" t="s">
        <v>135</v>
      </c>
      <c r="AB40" s="4" t="s">
        <v>136</v>
      </c>
      <c r="AC40" s="4" t="s">
        <v>133</v>
      </c>
      <c r="AD40" s="4" t="s">
        <v>134</v>
      </c>
      <c r="AE40" s="4" t="s">
        <v>135</v>
      </c>
      <c r="AF40" s="4" t="s">
        <v>136</v>
      </c>
      <c r="AG40" s="4" t="s">
        <v>133</v>
      </c>
      <c r="AH40" s="4" t="s">
        <v>134</v>
      </c>
      <c r="AI40" s="4" t="s">
        <v>135</v>
      </c>
      <c r="AJ40" s="4" t="s">
        <v>136</v>
      </c>
      <c r="AK40" s="4" t="s">
        <v>133</v>
      </c>
      <c r="AL40" s="4" t="s">
        <v>134</v>
      </c>
      <c r="AM40" s="4" t="s">
        <v>135</v>
      </c>
      <c r="AN40" s="4" t="s">
        <v>136</v>
      </c>
      <c r="AO40" s="4" t="s">
        <v>133</v>
      </c>
      <c r="AP40" s="4" t="s">
        <v>134</v>
      </c>
      <c r="AQ40" s="4" t="s">
        <v>135</v>
      </c>
      <c r="AR40" s="4" t="s">
        <v>136</v>
      </c>
      <c r="AS40" s="4" t="s">
        <v>133</v>
      </c>
      <c r="AT40" s="4" t="s">
        <v>134</v>
      </c>
      <c r="AU40" s="4" t="s">
        <v>135</v>
      </c>
      <c r="AV40" s="4" t="s">
        <v>136</v>
      </c>
      <c r="AW40" s="4" t="s">
        <v>137</v>
      </c>
      <c r="AX40" s="4" t="s">
        <v>138</v>
      </c>
      <c r="AY40" s="4" t="s">
        <v>139</v>
      </c>
      <c r="AZ40" s="4" t="s">
        <v>140</v>
      </c>
      <c r="BA40" s="4" t="s">
        <v>141</v>
      </c>
      <c r="BB40" s="4" t="s">
        <v>141</v>
      </c>
      <c r="BC40" s="27" t="str">
        <f t="shared" si="16"/>
        <v>Озимая тритикале, - указанный тоннаж по одной из болезней больше, чем общая масса зараженных семян</v>
      </c>
      <c r="BD40" s="64" t="e">
        <f t="shared" si="17"/>
        <v>#VALUE!</v>
      </c>
      <c r="BE40" s="64" t="str">
        <f t="shared" si="18"/>
        <v>Озимая тритикале, - указанный максимальный процент меньше, чем по одной из болезней</v>
      </c>
      <c r="BF40" s="27" t="str">
        <f t="shared" si="19"/>
        <v>Озимая тритикале, - масса зараженных семян меньше, чем масса проанализированных семян</v>
      </c>
      <c r="BG40" s="27" t="str">
        <f t="shared" si="20"/>
        <v>+</v>
      </c>
      <c r="BH40" s="27" t="str">
        <f t="shared" si="21"/>
        <v>Озимая тритикале, - как минимум по одной из болезней масса партии с максимальным поражением больше массы пораженных партий</v>
      </c>
      <c r="BI40" s="67"/>
      <c r="BJ40" s="58" t="str">
        <f t="shared" si="22"/>
        <v/>
      </c>
      <c r="BK40" s="66"/>
      <c r="BL40" s="66"/>
      <c r="BM40" s="66"/>
      <c r="BN40" s="66"/>
      <c r="BO40" s="66"/>
      <c r="BP40" s="66"/>
      <c r="BQ40" s="66" t="e">
        <f t="shared" si="23"/>
        <v>#VALUE!</v>
      </c>
      <c r="BR40" s="66" t="e">
        <f t="shared" si="24"/>
        <v>#VALUE!</v>
      </c>
      <c r="BU40" s="62"/>
      <c r="BV40" s="62"/>
    </row>
    <row r="41" spans="1:74" s="21" customFormat="1" ht="21" customHeight="1" x14ac:dyDescent="0.25">
      <c r="D41" s="63"/>
      <c r="E41" s="52">
        <v>5</v>
      </c>
      <c r="F41" s="40" t="s">
        <v>71</v>
      </c>
      <c r="G41" s="30">
        <f>SUM(G37:G40)</f>
        <v>0</v>
      </c>
      <c r="H41" s="30">
        <f>SUM(H37:H40)</f>
        <v>0</v>
      </c>
      <c r="I41" s="30">
        <f>SUM(I37:I40)</f>
        <v>0</v>
      </c>
      <c r="J41" s="30" t="e">
        <f>SUM(J37*$I$37,J38*$I$38,J39*$I$39,J40*$I$40)/$H$41</f>
        <v>#VALUE!</v>
      </c>
      <c r="K41" s="5" t="e">
        <f>INDEX((K37:K40),MATCH(MAX(L37:L40),(L37:L40),0))</f>
        <v>#N/A</v>
      </c>
      <c r="L41" s="30">
        <f>MAX(L37:L40)</f>
        <v>0</v>
      </c>
      <c r="M41" s="30">
        <f>SUM(M37:M40)</f>
        <v>0</v>
      </c>
      <c r="N41" s="30" t="e">
        <f>SUM(N37*$I$37,N38*$I$38,N39*$I$39,N40*$I$40)/$H$41</f>
        <v>#VALUE!</v>
      </c>
      <c r="O41" s="5" t="e">
        <f>INDEX((O37:O40),MATCH(MAX(P37:P40),(P37:P40),0))</f>
        <v>#N/A</v>
      </c>
      <c r="P41" s="30">
        <f>MAX(P37:P40)</f>
        <v>0</v>
      </c>
      <c r="Q41" s="30">
        <f>SUM(Q37:Q40)</f>
        <v>0</v>
      </c>
      <c r="R41" s="30" t="e">
        <f>SUM(R37*$I$37,R38*$I$38,R39*$I$39,R40*$I$40)/$H$41</f>
        <v>#VALUE!</v>
      </c>
      <c r="S41" s="5" t="e">
        <f>INDEX((S37:S40),MATCH(MAX(T37:T40),(T37:T40),0))</f>
        <v>#N/A</v>
      </c>
      <c r="T41" s="30">
        <f>MAX(T37:T40)</f>
        <v>0</v>
      </c>
      <c r="U41" s="30">
        <f>SUM(U37:U40)</f>
        <v>0</v>
      </c>
      <c r="V41" s="30" t="e">
        <f>SUM(V37*$I$37,V38*$I$38,V39*$I$39,V40*$I$40)/$H$41</f>
        <v>#VALUE!</v>
      </c>
      <c r="W41" s="5" t="e">
        <f>INDEX((W37:W40),MATCH(MAX(X37:X40),(X37:X40),0))</f>
        <v>#N/A</v>
      </c>
      <c r="X41" s="30">
        <f>MAX(X37:X40)</f>
        <v>0</v>
      </c>
      <c r="Y41" s="30">
        <f>SUM(Y37:Y40)</f>
        <v>0</v>
      </c>
      <c r="Z41" s="30" t="e">
        <f>SUM(Z37*$I$37,Z38*$I$38,Z39*$I$39,Z40*$I$40)/$H$41</f>
        <v>#VALUE!</v>
      </c>
      <c r="AA41" s="5" t="e">
        <f>INDEX((AA37:AA40),MATCH(MAX(AB37:AB40),(AB37:AB40),0))</f>
        <v>#N/A</v>
      </c>
      <c r="AB41" s="30">
        <f>MAX(AB37:AB40)</f>
        <v>0</v>
      </c>
      <c r="AC41" s="30">
        <f>SUM(AC37:AC40)</f>
        <v>0</v>
      </c>
      <c r="AD41" s="30" t="e">
        <f>SUM(AD37*$I$37,AD38*$I$38,AD39*$I$39,AD40*$I$40)/$H$41</f>
        <v>#VALUE!</v>
      </c>
      <c r="AE41" s="5" t="e">
        <f>INDEX((AE37:AE40),MATCH(MAX(AF37:AF40),(AF37:AF40),0))</f>
        <v>#N/A</v>
      </c>
      <c r="AF41" s="30">
        <f>MAX(AF37:AF40)</f>
        <v>0</v>
      </c>
      <c r="AG41" s="30">
        <f>SUM(AG37:AG40)</f>
        <v>0</v>
      </c>
      <c r="AH41" s="30" t="e">
        <f>SUM(AH37*$I$37,AH38*$I$38,AH39*$I$39,AH40*$I$40)/$H$41</f>
        <v>#VALUE!</v>
      </c>
      <c r="AI41" s="5" t="e">
        <f>INDEX((AI37:AI40),MATCH(MAX(AJ37:AJ40),(AJ37:AJ40),0))</f>
        <v>#N/A</v>
      </c>
      <c r="AJ41" s="30">
        <f>MAX(AJ37:AJ40)</f>
        <v>0</v>
      </c>
      <c r="AK41" s="30">
        <f>SUM(AK37:AK40)</f>
        <v>0</v>
      </c>
      <c r="AL41" s="30" t="e">
        <f>SUM(AL37*$I$37,AL38*$I$38,AL39*$I$39,AL40*$I$40)/$H$41</f>
        <v>#VALUE!</v>
      </c>
      <c r="AM41" s="5" t="e">
        <f>INDEX((AM37:AM40),MATCH(MAX(AN37:AN40),(AN37:AN40),0))</f>
        <v>#N/A</v>
      </c>
      <c r="AN41" s="30">
        <f>MAX(AN37:AN40)</f>
        <v>0</v>
      </c>
      <c r="AO41" s="30">
        <f>SUM(AO37:AO40)</f>
        <v>0</v>
      </c>
      <c r="AP41" s="30" t="e">
        <f>SUM(AP37*$I$37,AP38*$I$38,AP39*$I$39,AP40*$I$40)/$H$41</f>
        <v>#VALUE!</v>
      </c>
      <c r="AQ41" s="5" t="e">
        <f>INDEX((AQ37:AQ40),MATCH(MAX(AR37:AR40),(AR37:AR40),0))</f>
        <v>#N/A</v>
      </c>
      <c r="AR41" s="30">
        <f>MAX(AR37:AR40)</f>
        <v>0</v>
      </c>
      <c r="AS41" s="30">
        <f>SUM(AS37:AS40)</f>
        <v>0</v>
      </c>
      <c r="AT41" s="30" t="e">
        <f>SUM(AT37*$I$37,AT38*$I$38,AT39*$I$39,AT40*$I$40)/$H$41</f>
        <v>#VALUE!</v>
      </c>
      <c r="AU41" s="5" t="e">
        <f>INDEX((AU37:AU40),MATCH(MAX(AV37:AV40),(AV37:AV40),0))</f>
        <v>#N/A</v>
      </c>
      <c r="AV41" s="30">
        <f>MAX(AV37:AV40)</f>
        <v>0</v>
      </c>
      <c r="AW41" s="30">
        <f>SUM(AW37:AW40)</f>
        <v>0</v>
      </c>
      <c r="AX41" s="30" t="e">
        <f>SUM(AX37*$I$37,AX38*$I$38,AX39*$I$39,AX40*$I$40)/$H$41</f>
        <v>#VALUE!</v>
      </c>
      <c r="AY41" s="5" t="e">
        <f>INDEX((AY37:AY40),MATCH(MAX(AZ37:AZ40),(AZ37:AZ40),0))</f>
        <v>#N/A</v>
      </c>
      <c r="AZ41" s="30">
        <f>MAX(AZ37:AZ40)</f>
        <v>0</v>
      </c>
      <c r="BA41" s="31">
        <f>SUM(BA37:BA40)</f>
        <v>0</v>
      </c>
      <c r="BB41" s="30">
        <f>SUM(BB37:BB40)</f>
        <v>0</v>
      </c>
      <c r="BC41" s="27" t="str">
        <f t="shared" si="16"/>
        <v>+</v>
      </c>
      <c r="BD41" s="64" t="e">
        <f t="shared" si="17"/>
        <v>#VALUE!</v>
      </c>
      <c r="BE41" s="64" t="str">
        <f t="shared" si="18"/>
        <v>+</v>
      </c>
      <c r="BF41" s="27" t="str">
        <f t="shared" si="19"/>
        <v>+</v>
      </c>
      <c r="BG41" s="27" t="e">
        <f t="shared" si="20"/>
        <v>#VALUE!</v>
      </c>
      <c r="BH41" s="27" t="e">
        <f t="shared" si="21"/>
        <v>#N/A</v>
      </c>
      <c r="BI41" s="68"/>
      <c r="BJ41" s="65"/>
      <c r="BK41" s="66"/>
      <c r="BL41" s="66"/>
      <c r="BM41" s="66"/>
      <c r="BN41" s="66"/>
      <c r="BO41" s="66"/>
      <c r="BP41" s="66"/>
      <c r="BQ41" s="66">
        <f t="shared" si="23"/>
        <v>0</v>
      </c>
      <c r="BR41" s="66">
        <f t="shared" si="24"/>
        <v>0</v>
      </c>
      <c r="BU41" s="62"/>
      <c r="BV41" s="62"/>
    </row>
    <row r="42" spans="1:74" s="21" customFormat="1" ht="50.25" customHeight="1" x14ac:dyDescent="0.25">
      <c r="D42" s="63"/>
      <c r="E42" s="52">
        <v>6</v>
      </c>
      <c r="F42" s="39" t="s">
        <v>72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34"/>
      <c r="BB42" s="7"/>
      <c r="BC42" s="27" t="str">
        <f t="shared" ref="BC42" si="25">IF(OR(H42&lt;I42,I42&lt;M42,I42&lt;Q42,I42&lt;U42,I42&lt;Y42,I42&lt;AC42,I42&lt;AG42,I42&lt;AK42,I42&lt;AO42,I42&lt;AS42,I42&lt;AW42,I42&lt;BA42,I42&lt;BB42,J42&gt;L42,N42&gt;P42,R42&gt;T42,V42&gt;X42,Z42&gt;AB42,AD42&gt;AF42,AH42&gt;AJ42,AL42&gt;AN42,AP42&gt;AR42,AT42&gt;AV42,AX42&gt;AZ42,K42&gt;I42,O42&gt;M42,S42&gt;Q42,W42&gt;U42,AA42&gt;Y42,AE42&gt;AC42,AI42&gt;AG42,AM42&gt;AK42,AQ42&gt;AO42,AU42&gt;AS42,AY42&gt;AW42,ABS(SUM(N42,R42,V42,Z42,AD42,AH42,AL42,AP42,AT42,,AX42)-J42)&gt;0.1),"СТРОКА СОДЕРЖИТ ОШИБКИ!","")</f>
        <v/>
      </c>
      <c r="BU42" s="62"/>
      <c r="BV42" s="62"/>
    </row>
    <row r="43" spans="1:74" s="21" customFormat="1" ht="10.5" customHeight="1" x14ac:dyDescent="0.25">
      <c r="D43" s="69"/>
      <c r="E43" s="49"/>
      <c r="F43" s="3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</row>
    <row r="44" spans="1:74" x14ac:dyDescent="0.25">
      <c r="D44" s="69"/>
      <c r="F44" s="41" t="s">
        <v>115</v>
      </c>
    </row>
    <row r="45" spans="1:74" x14ac:dyDescent="0.25">
      <c r="D45" s="70"/>
      <c r="F45" s="41" t="s">
        <v>116</v>
      </c>
    </row>
    <row r="46" spans="1:74" x14ac:dyDescent="0.25">
      <c r="D46" s="69"/>
      <c r="F46" s="41" t="s">
        <v>117</v>
      </c>
    </row>
    <row r="47" spans="1:74" ht="21" customHeight="1" x14ac:dyDescent="0.25">
      <c r="D47" s="69"/>
      <c r="F47" s="41"/>
    </row>
    <row r="48" spans="1:74" s="10" customFormat="1" x14ac:dyDescent="0.25">
      <c r="D48" s="69"/>
      <c r="E48" s="53"/>
      <c r="F48" s="120" t="s">
        <v>118</v>
      </c>
      <c r="G48" s="121"/>
      <c r="H48" s="121"/>
      <c r="I48" s="121"/>
      <c r="J48" s="121"/>
      <c r="K48" s="121"/>
      <c r="L48" s="121"/>
      <c r="M48" s="121"/>
      <c r="N48" s="121"/>
      <c r="O48" s="121"/>
      <c r="P48" s="121"/>
      <c r="Q48" s="121"/>
      <c r="R48" s="121"/>
      <c r="S48" s="121"/>
      <c r="T48" s="121"/>
      <c r="U48" s="121"/>
      <c r="V48" s="121"/>
    </row>
    <row r="49" spans="4:22" s="10" customFormat="1" x14ac:dyDescent="0.25">
      <c r="D49" s="69"/>
      <c r="E49" s="53"/>
      <c r="F49" s="120" t="s">
        <v>119</v>
      </c>
      <c r="G49" s="121"/>
      <c r="H49" s="121"/>
      <c r="I49" s="121"/>
      <c r="J49" s="121"/>
      <c r="K49" s="121"/>
      <c r="L49" s="121"/>
      <c r="M49" s="121"/>
      <c r="N49" s="121"/>
      <c r="O49" s="121"/>
      <c r="P49" s="121"/>
      <c r="Q49" s="121"/>
      <c r="R49" s="121"/>
      <c r="S49" s="121"/>
      <c r="T49" s="121"/>
      <c r="U49" s="121"/>
      <c r="V49" s="121"/>
    </row>
    <row r="50" spans="4:22" s="9" customFormat="1" x14ac:dyDescent="0.25">
      <c r="D50" s="69"/>
      <c r="E50" s="54"/>
      <c r="F50" s="42"/>
      <c r="G50" s="21"/>
      <c r="H50" s="21"/>
      <c r="I50" s="21"/>
      <c r="J50" s="21"/>
    </row>
    <row r="51" spans="4:22" s="9" customFormat="1" x14ac:dyDescent="0.25">
      <c r="D51" s="69"/>
      <c r="E51" s="54"/>
      <c r="F51" s="42" t="s">
        <v>120</v>
      </c>
      <c r="G51" s="21"/>
      <c r="H51" s="21"/>
      <c r="I51" s="21"/>
      <c r="J51" s="21"/>
    </row>
    <row r="52" spans="4:22" s="9" customFormat="1" ht="21" customHeight="1" x14ac:dyDescent="0.25">
      <c r="D52" s="21"/>
      <c r="E52" s="54"/>
      <c r="F52" s="42" t="s">
        <v>121</v>
      </c>
      <c r="G52" s="21"/>
      <c r="H52" s="21"/>
      <c r="I52" s="21"/>
      <c r="J52" s="21"/>
    </row>
    <row r="58" spans="4:22" x14ac:dyDescent="0.25">
      <c r="F58" s="1"/>
    </row>
    <row r="59" spans="4:22" x14ac:dyDescent="0.25">
      <c r="F59" s="1"/>
    </row>
    <row r="60" spans="4:22" x14ac:dyDescent="0.25">
      <c r="F60" s="1"/>
    </row>
    <row r="61" spans="4:22" x14ac:dyDescent="0.25">
      <c r="F61" s="1"/>
    </row>
    <row r="62" spans="4:22" x14ac:dyDescent="0.25">
      <c r="F62" s="1"/>
    </row>
    <row r="63" spans="4:22" x14ac:dyDescent="0.25">
      <c r="F63" s="1"/>
    </row>
    <row r="64" spans="4:22" x14ac:dyDescent="0.25">
      <c r="F64" s="1"/>
    </row>
    <row r="65" spans="6:6" x14ac:dyDescent="0.25">
      <c r="F65" s="1"/>
    </row>
    <row r="66" spans="6:6" x14ac:dyDescent="0.25">
      <c r="F66" s="1"/>
    </row>
    <row r="67" spans="6:6" x14ac:dyDescent="0.25">
      <c r="F67" s="1"/>
    </row>
    <row r="68" spans="6:6" x14ac:dyDescent="0.25">
      <c r="F68" s="1"/>
    </row>
    <row r="69" spans="6:6" x14ac:dyDescent="0.25">
      <c r="F69" s="1"/>
    </row>
    <row r="70" spans="6:6" x14ac:dyDescent="0.25">
      <c r="F70" s="1"/>
    </row>
    <row r="71" spans="6:6" x14ac:dyDescent="0.25">
      <c r="F71" s="1"/>
    </row>
    <row r="72" spans="6:6" x14ac:dyDescent="0.25">
      <c r="F72" s="1"/>
    </row>
  </sheetData>
  <autoFilter ref="D12:BB42" xr:uid="{00000000-0009-0000-0000-000000000000}"/>
  <mergeCells count="95">
    <mergeCell ref="AO34:AP34"/>
    <mergeCell ref="AQ34:AR34"/>
    <mergeCell ref="AU34:AV34"/>
    <mergeCell ref="AW34:AX34"/>
    <mergeCell ref="AA34:AB34"/>
    <mergeCell ref="AC34:AD34"/>
    <mergeCell ref="AE34:AF34"/>
    <mergeCell ref="AG34:AH34"/>
    <mergeCell ref="AI34:AJ34"/>
    <mergeCell ref="AK34:AL34"/>
    <mergeCell ref="S34:T34"/>
    <mergeCell ref="U34:V34"/>
    <mergeCell ref="F48:V48"/>
    <mergeCell ref="F49:V49"/>
    <mergeCell ref="AM34:AN34"/>
    <mergeCell ref="AY34:AZ34"/>
    <mergeCell ref="AS34:AT34"/>
    <mergeCell ref="BC32:BC34"/>
    <mergeCell ref="M33:P33"/>
    <mergeCell ref="Q33:T33"/>
    <mergeCell ref="U33:X33"/>
    <mergeCell ref="Y33:AB33"/>
    <mergeCell ref="AC33:AF33"/>
    <mergeCell ref="AG33:AJ33"/>
    <mergeCell ref="AK33:AN33"/>
    <mergeCell ref="AO33:AR33"/>
    <mergeCell ref="AS33:AV33"/>
    <mergeCell ref="AW33:AZ33"/>
    <mergeCell ref="M34:N34"/>
    <mergeCell ref="O34:P34"/>
    <mergeCell ref="Q34:R34"/>
    <mergeCell ref="AE10:AF10"/>
    <mergeCell ref="AG10:AH10"/>
    <mergeCell ref="F30:AC30"/>
    <mergeCell ref="F31:BB31"/>
    <mergeCell ref="E32:E35"/>
    <mergeCell ref="F32:F35"/>
    <mergeCell ref="G32:G35"/>
    <mergeCell ref="H32:H35"/>
    <mergeCell ref="I32:L33"/>
    <mergeCell ref="M32:AZ32"/>
    <mergeCell ref="BA32:BA34"/>
    <mergeCell ref="BB32:BB34"/>
    <mergeCell ref="I34:J34"/>
    <mergeCell ref="K34:L34"/>
    <mergeCell ref="W34:X34"/>
    <mergeCell ref="Y34:Z34"/>
    <mergeCell ref="F29:AC29"/>
    <mergeCell ref="AI10:AJ10"/>
    <mergeCell ref="AK10:AL10"/>
    <mergeCell ref="AM10:AN10"/>
    <mergeCell ref="E13:BB13"/>
    <mergeCell ref="E21:BB21"/>
    <mergeCell ref="AQ10:AR10"/>
    <mergeCell ref="AS10:AT10"/>
    <mergeCell ref="BA8:BA10"/>
    <mergeCell ref="BB8:BB10"/>
    <mergeCell ref="AY10:AZ10"/>
    <mergeCell ref="AO10:AP10"/>
    <mergeCell ref="W10:X10"/>
    <mergeCell ref="Y10:Z10"/>
    <mergeCell ref="AA10:AB10"/>
    <mergeCell ref="AC10:AD10"/>
    <mergeCell ref="BC8:BC10"/>
    <mergeCell ref="M9:P9"/>
    <mergeCell ref="Q9:T9"/>
    <mergeCell ref="U9:X9"/>
    <mergeCell ref="Y9:AB9"/>
    <mergeCell ref="AC9:AF9"/>
    <mergeCell ref="AG9:AJ9"/>
    <mergeCell ref="AK9:AN9"/>
    <mergeCell ref="AO9:AR9"/>
    <mergeCell ref="AS9:AV9"/>
    <mergeCell ref="AW9:AZ9"/>
    <mergeCell ref="M10:N10"/>
    <mergeCell ref="O10:P10"/>
    <mergeCell ref="Q10:R10"/>
    <mergeCell ref="S10:T10"/>
    <mergeCell ref="U10:V10"/>
    <mergeCell ref="D8:D11"/>
    <mergeCell ref="D32:D35"/>
    <mergeCell ref="W4:AB4"/>
    <mergeCell ref="F5:AA5"/>
    <mergeCell ref="E6:AA6"/>
    <mergeCell ref="E7:AB7"/>
    <mergeCell ref="E8:E11"/>
    <mergeCell ref="F8:F11"/>
    <mergeCell ref="G8:G11"/>
    <mergeCell ref="H8:H11"/>
    <mergeCell ref="I8:L9"/>
    <mergeCell ref="M8:AZ8"/>
    <mergeCell ref="I10:J10"/>
    <mergeCell ref="K10:L10"/>
    <mergeCell ref="AU10:AV10"/>
    <mergeCell ref="AW10:AX10"/>
  </mergeCells>
  <conditionalFormatting sqref="BC42">
    <cfRule type="cellIs" dxfId="4" priority="5" stopIfTrue="1" operator="equal">
      <formula>"СТРОКА СОДЕРЖИТ ОШИБКИ!"</formula>
    </cfRule>
  </conditionalFormatting>
  <conditionalFormatting sqref="BJ14:BJ21 BD14:BD27 BJ26:BJ27">
    <cfRule type="cellIs" dxfId="3" priority="4" operator="equal">
      <formula>"ошибка"</formula>
    </cfRule>
  </conditionalFormatting>
  <conditionalFormatting sqref="BJ41 BD37:BD41">
    <cfRule type="cellIs" dxfId="2" priority="3" operator="equal">
      <formula>"ошибка"</formula>
    </cfRule>
  </conditionalFormatting>
  <conditionalFormatting sqref="BJ22:BJ25">
    <cfRule type="cellIs" dxfId="1" priority="2" operator="equal">
      <formula>"ошибка"</formula>
    </cfRule>
  </conditionalFormatting>
  <conditionalFormatting sqref="BJ37:BJ40">
    <cfRule type="cellIs" dxfId="0" priority="1" operator="equal">
      <formula>"ошибка"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пр-4а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don</cp:lastModifiedBy>
  <dcterms:created xsi:type="dcterms:W3CDTF">2021-12-08T08:08:53Z</dcterms:created>
  <dcterms:modified xsi:type="dcterms:W3CDTF">2025-12-01T08:11:13Z</dcterms:modified>
</cp:coreProperties>
</file>