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on\IdeaProjects\reportservice\src\main\resources\excel\"/>
    </mc:Choice>
  </mc:AlternateContent>
  <xr:revisionPtr revIDLastSave="0" documentId="13_ncr:1_{1601F06A-0973-4F2C-A7D0-AC14223A59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state="hidden" r:id="rId2"/>
  </sheets>
  <definedNames>
    <definedName name="_xlnm._FilterDatabase" localSheetId="0" hidden="1">Лист1!$A$10:$DN$10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O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S9" authorId="0" shapeId="0" xr:uid="{00000000-0006-0000-0000-000001000000}">
      <text>
        <r>
          <rPr>
            <sz val="9"/>
            <color indexed="81"/>
            <rFont val="Tahoma"/>
            <family val="2"/>
            <charset val="204"/>
          </rPr>
          <t xml:space="preserve">Ед. изм поменялась 12.05.2023 в соответствии с ГОСТ 12044-93
</t>
        </r>
      </text>
    </comment>
  </commentList>
</comments>
</file>

<file path=xl/sharedStrings.xml><?xml version="1.0" encoding="utf-8"?>
<sst xmlns="http://schemas.openxmlformats.org/spreadsheetml/2006/main" count="266" uniqueCount="80">
  <si>
    <t>ид засыпки</t>
  </si>
  <si>
    <t>ид услуги</t>
  </si>
  <si>
    <t>переходящий фонд</t>
  </si>
  <si>
    <t>номер партии</t>
  </si>
  <si>
    <t>не учитывать в аналитике</t>
  </si>
  <si>
    <t>Общий % заражения болезнями</t>
  </si>
  <si>
    <t>в т.ч. заражения по видам болезней</t>
  </si>
  <si>
    <t>%</t>
  </si>
  <si>
    <t>Культура</t>
  </si>
  <si>
    <t>Дата услуги</t>
  </si>
  <si>
    <t>Хозяйство</t>
  </si>
  <si>
    <t>TOTAL</t>
  </si>
  <si>
    <t>репродукция</t>
  </si>
  <si>
    <t>погрешность</t>
  </si>
  <si>
    <t>нормы по НД</t>
  </si>
  <si>
    <t>НД на метод испытаний</t>
  </si>
  <si>
    <t>#{phytoExpQualReporter.backFillId}</t>
  </si>
  <si>
    <t>#{phytoExpQualReporter.batchNumber}</t>
  </si>
  <si>
    <t>#{phytoExpQualReporter.transferedFundName()}</t>
  </si>
  <si>
    <t>#{phytoExpQualReporter.prevAnalyzeName()}</t>
  </si>
  <si>
    <t>#{phytoExpQualReporter.cropQualityId}</t>
  </si>
  <si>
    <t>#{phytoExpQualReporter.formatDateQuality()}</t>
  </si>
  <si>
    <t>#{phytoExpQualReporter.contractorName}</t>
  </si>
  <si>
    <t>#{phytoExpQualReporter.departmentName}</t>
  </si>
  <si>
    <t>#{phytoExpQualReporter.cultureName}</t>
  </si>
  <si>
    <t>#{phytoExpQualReporter.reproduction}</t>
  </si>
  <si>
    <t>#{phytoExpQualReporter.fill}</t>
  </si>
  <si>
    <t>#{phytoExpQualReporter.checked}</t>
  </si>
  <si>
    <t>#{phytoExpQualReporter.percentInfected}</t>
  </si>
  <si>
    <t>#{phytoExpQualReporter.measureError}</t>
  </si>
  <si>
    <t>#{phytoExpQualReporter.normsForNd}</t>
  </si>
  <si>
    <t>#{phytoExpQualReporter.gost}</t>
  </si>
  <si>
    <t>результат</t>
  </si>
  <si>
    <t>фузариоз %</t>
  </si>
  <si>
    <t>гельминтоспориоз %</t>
  </si>
  <si>
    <t>септориоз %</t>
  </si>
  <si>
    <t>бактериоз %</t>
  </si>
  <si>
    <t>альтернариоз %</t>
  </si>
  <si>
    <t>плесени %</t>
  </si>
  <si>
    <t>полосатая пятнистость %</t>
  </si>
  <si>
    <t>сетчатая пятнистость %</t>
  </si>
  <si>
    <t>красно-бурая пятнистость %</t>
  </si>
  <si>
    <t>твердая головня спор на одно зерно</t>
  </si>
  <si>
    <t>галлы пшеничной нематоды шт/кг</t>
  </si>
  <si>
    <t>аскохитоз %</t>
  </si>
  <si>
    <t>белая гниль %</t>
  </si>
  <si>
    <t>серая гниль %</t>
  </si>
  <si>
    <t>церкоспороз %</t>
  </si>
  <si>
    <t>пероноспороз %</t>
  </si>
  <si>
    <t>антракноз %</t>
  </si>
  <si>
    <t>крапчатость %</t>
  </si>
  <si>
    <t>сапрофиты %</t>
  </si>
  <si>
    <t>другие %</t>
  </si>
  <si>
    <t>Засыпано на хранение, тн.</t>
  </si>
  <si>
    <t>Проанализировано, тн.</t>
  </si>
  <si>
    <t>Район (засыпки)</t>
  </si>
  <si>
    <t>Отдел (выполнивший услугу)</t>
  </si>
  <si>
    <t>#{phytoExpQualReporter.town}</t>
  </si>
  <si>
    <t>Итого</t>
  </si>
  <si>
    <t>#{phytoExpQualReporter.sortName}</t>
  </si>
  <si>
    <t>Сорт</t>
  </si>
  <si>
    <t>кол-во проб</t>
  </si>
  <si>
    <t>#{phytoExpQualReporter.samplesCount}</t>
  </si>
  <si>
    <t>товар. масс репр.</t>
  </si>
  <si>
    <t>#{phytoExpQualReporter.massOrProductionReproduction}</t>
  </si>
  <si>
    <t>Максимальные значения</t>
  </si>
  <si>
    <t>пасмо льна шт/зерно</t>
  </si>
  <si>
    <t>склероции спорыньи шт/кг (%)</t>
  </si>
  <si>
    <t>#{phytoExpQualReporter.status}</t>
  </si>
  <si>
    <t>Статус</t>
  </si>
  <si>
    <t>Регион (засыпки)</t>
  </si>
  <si>
    <t>#{phytoExpQualReporter.regionItem}</t>
  </si>
  <si>
    <t>Развитие болезней проростков зерновых культур %</t>
  </si>
  <si>
    <t>#{phytoExpQualReporter.cropYear}</t>
  </si>
  <si>
    <t>Под урожай(год)</t>
  </si>
  <si>
    <t>Год урожая</t>
  </si>
  <si>
    <t>#{phytoExpQualReporter.harvestYear}</t>
  </si>
  <si>
    <t>Шаблон</t>
  </si>
  <si>
    <t>#{phytoExpQualReporter.indicatorTemplateName}</t>
  </si>
  <si>
    <t>РЕЗУЛЬТАТЫ фитоэкспертизы на #{phytoExpQualReporter.date}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</si>
</sst>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color theme="1"/>
      <name val="Arial"/>
      <family val="2"/>
      <charset val="204"/>
    </font>
    <font>
      <sz val="10"/>
      <color indexed="8"/>
      <name val="Arial"/>
      <family val="2"/>
      <charset val="204"/>
    </font>
    <font>
      <b/>
      <sz val="11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9"/>
      <color indexed="81"/>
      <name val="Tahoma"/>
      <family val="2"/>
      <charset val="204"/>
    </font>
    <font>
      <sz val="10"/>
      <color rgb="FFA9B7C6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4" fillId="0" borderId="0" xfId="0" applyFont="1"/>
    <xf numFmtId="0" fontId="5" fillId="0" borderId="0" xfId="1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1" applyFont="1" applyAlignment="1" applyProtection="1">
      <alignment vertical="center" wrapText="1"/>
      <protection locked="0"/>
    </xf>
    <xf numFmtId="2" fontId="5" fillId="0" borderId="2" xfId="2" applyNumberFormat="1" applyFont="1" applyBorder="1" applyAlignment="1" applyProtection="1">
      <alignment horizontal="center" vertical="center" wrapText="1"/>
      <protection locked="0"/>
    </xf>
    <xf numFmtId="2" fontId="5" fillId="0" borderId="2" xfId="2" applyNumberFormat="1" applyFont="1" applyBorder="1" applyAlignment="1" applyProtection="1">
      <alignment horizontal="center" vertical="center" textRotation="90" wrapText="1"/>
      <protection locked="0"/>
    </xf>
    <xf numFmtId="0" fontId="4" fillId="0" borderId="2" xfId="0" applyFont="1" applyBorder="1" applyAlignment="1">
      <alignment horizontal="center" vertical="center" textRotation="90"/>
    </xf>
    <xf numFmtId="2" fontId="5" fillId="0" borderId="2" xfId="2" applyNumberFormat="1" applyFont="1" applyBorder="1" applyAlignment="1" applyProtection="1">
      <alignment horizontal="left" vertical="center"/>
      <protection locked="0"/>
    </xf>
    <xf numFmtId="2" fontId="5" fillId="0" borderId="2" xfId="2" applyNumberFormat="1" applyFont="1" applyBorder="1" applyAlignment="1" applyProtection="1">
      <alignment horizontal="right" vertical="center"/>
      <protection locked="0"/>
    </xf>
    <xf numFmtId="1" fontId="5" fillId="0" borderId="2" xfId="2" applyNumberFormat="1" applyFont="1" applyBorder="1" applyAlignment="1" applyProtection="1">
      <alignment horizontal="left" vertical="center"/>
      <protection locked="0"/>
    </xf>
    <xf numFmtId="0" fontId="5" fillId="0" borderId="2" xfId="2" applyNumberFormat="1" applyFont="1" applyBorder="1" applyAlignment="1" applyProtection="1">
      <alignment horizontal="left" vertical="center"/>
      <protection locked="0"/>
    </xf>
    <xf numFmtId="2" fontId="5" fillId="2" borderId="2" xfId="2" applyNumberFormat="1" applyFont="1" applyFill="1" applyBorder="1" applyAlignment="1" applyProtection="1">
      <alignment horizontal="right" vertical="center"/>
      <protection locked="0"/>
    </xf>
    <xf numFmtId="2" fontId="5" fillId="2" borderId="2" xfId="2" applyNumberFormat="1" applyFont="1" applyFill="1" applyBorder="1" applyAlignment="1" applyProtection="1">
      <alignment horizontal="left" vertical="center"/>
      <protection locked="0"/>
    </xf>
    <xf numFmtId="0" fontId="4" fillId="0" borderId="1" xfId="0" applyFont="1" applyBorder="1"/>
    <xf numFmtId="0" fontId="4" fillId="0" borderId="0" xfId="0" applyFont="1" applyBorder="1"/>
    <xf numFmtId="2" fontId="5" fillId="3" borderId="2" xfId="2" applyNumberFormat="1" applyFont="1" applyFill="1" applyBorder="1" applyAlignment="1" applyProtection="1">
      <alignment horizontal="right" vertical="center"/>
      <protection locked="0"/>
    </xf>
    <xf numFmtId="2" fontId="5" fillId="3" borderId="2" xfId="2" applyNumberFormat="1" applyFont="1" applyFill="1" applyBorder="1" applyAlignment="1" applyProtection="1">
      <alignment horizontal="left" vertical="center"/>
      <protection locked="0"/>
    </xf>
    <xf numFmtId="0" fontId="9" fillId="0" borderId="0" xfId="0" applyFont="1" applyAlignment="1">
      <alignment vertical="center"/>
    </xf>
    <xf numFmtId="1" fontId="5" fillId="0" borderId="2" xfId="2" applyNumberFormat="1" applyFont="1" applyBorder="1" applyAlignment="1" applyProtection="1">
      <alignment horizontal="center" vertical="center"/>
      <protection locked="0"/>
    </xf>
    <xf numFmtId="0" fontId="5" fillId="0" borderId="2" xfId="2" applyFont="1" applyBorder="1" applyAlignment="1" applyProtection="1">
      <alignment horizontal="center" vertical="center" textRotation="90" wrapText="1"/>
      <protection locked="0"/>
    </xf>
    <xf numFmtId="0" fontId="5" fillId="0" borderId="3" xfId="2" applyFont="1" applyBorder="1" applyAlignment="1" applyProtection="1">
      <alignment horizontal="center" vertical="center" textRotation="90" wrapText="1"/>
      <protection locked="0"/>
    </xf>
    <xf numFmtId="0" fontId="5" fillId="0" borderId="4" xfId="2" applyFont="1" applyBorder="1" applyAlignment="1" applyProtection="1">
      <alignment horizontal="center" vertical="center" textRotation="90" wrapText="1"/>
      <protection locked="0"/>
    </xf>
    <xf numFmtId="0" fontId="5" fillId="0" borderId="5" xfId="2" applyFont="1" applyBorder="1" applyAlignment="1" applyProtection="1">
      <alignment horizontal="center" vertical="center" textRotation="90" wrapText="1"/>
      <protection locked="0"/>
    </xf>
    <xf numFmtId="2" fontId="5" fillId="0" borderId="2" xfId="4" applyNumberFormat="1" applyFont="1" applyBorder="1" applyAlignment="1" applyProtection="1">
      <alignment horizontal="center" vertical="center" wrapText="1"/>
    </xf>
    <xf numFmtId="2" fontId="5" fillId="0" borderId="6" xfId="4" applyNumberFormat="1" applyFont="1" applyBorder="1" applyAlignment="1" applyProtection="1">
      <alignment horizontal="center" vertical="center" wrapText="1"/>
    </xf>
    <xf numFmtId="2" fontId="5" fillId="0" borderId="7" xfId="4" applyNumberFormat="1" applyFont="1" applyBorder="1" applyAlignment="1" applyProtection="1">
      <alignment horizontal="center" vertical="center" wrapText="1"/>
    </xf>
    <xf numFmtId="2" fontId="5" fillId="0" borderId="8" xfId="4" applyNumberFormat="1" applyFont="1" applyBorder="1" applyAlignment="1" applyProtection="1">
      <alignment horizontal="center" vertical="center" wrapText="1"/>
    </xf>
    <xf numFmtId="2" fontId="5" fillId="0" borderId="2" xfId="2" applyNumberFormat="1" applyFont="1" applyBorder="1" applyAlignment="1" applyProtection="1">
      <alignment horizontal="center" vertical="center" wrapText="1"/>
      <protection locked="0"/>
    </xf>
    <xf numFmtId="0" fontId="5" fillId="0" borderId="0" xfId="1" applyFont="1" applyAlignment="1" applyProtection="1">
      <alignment horizontal="center" vertical="center" wrapText="1"/>
      <protection locked="0"/>
    </xf>
    <xf numFmtId="0" fontId="6" fillId="0" borderId="0" xfId="1" applyFont="1" applyAlignment="1" applyProtection="1">
      <alignment horizontal="center" vertical="center" wrapText="1"/>
      <protection locked="0"/>
    </xf>
    <xf numFmtId="0" fontId="5" fillId="0" borderId="0" xfId="1" applyFont="1" applyBorder="1" applyAlignment="1" applyProtection="1">
      <alignment horizontal="center" vertical="center" wrapText="1"/>
      <protection locked="0"/>
    </xf>
    <xf numFmtId="2" fontId="5" fillId="0" borderId="5" xfId="2" applyNumberFormat="1" applyFont="1" applyBorder="1" applyAlignment="1" applyProtection="1">
      <alignment horizontal="left" vertical="center" wrapText="1"/>
      <protection locked="0"/>
    </xf>
    <xf numFmtId="0" fontId="5" fillId="0" borderId="2" xfId="3" applyFont="1" applyBorder="1" applyAlignment="1" applyProtection="1">
      <alignment horizontal="center" vertical="center" wrapText="1"/>
      <protection locked="0"/>
    </xf>
    <xf numFmtId="1" fontId="7" fillId="2" borderId="6" xfId="2" applyNumberFormat="1" applyFont="1" applyFill="1" applyBorder="1" applyAlignment="1" applyProtection="1">
      <alignment horizontal="left" vertical="center"/>
      <protection locked="0"/>
    </xf>
    <xf numFmtId="1" fontId="7" fillId="2" borderId="7" xfId="2" applyNumberFormat="1" applyFont="1" applyFill="1" applyBorder="1" applyAlignment="1" applyProtection="1">
      <alignment horizontal="left" vertical="center"/>
      <protection locked="0"/>
    </xf>
    <xf numFmtId="1" fontId="7" fillId="2" borderId="8" xfId="2" applyNumberFormat="1" applyFont="1" applyFill="1" applyBorder="1" applyAlignment="1" applyProtection="1">
      <alignment horizontal="left" vertical="center"/>
      <protection locked="0"/>
    </xf>
    <xf numFmtId="1" fontId="7" fillId="3" borderId="6" xfId="2" applyNumberFormat="1" applyFont="1" applyFill="1" applyBorder="1" applyAlignment="1" applyProtection="1">
      <alignment horizontal="left" vertical="center"/>
      <protection locked="0"/>
    </xf>
    <xf numFmtId="1" fontId="7" fillId="3" borderId="7" xfId="2" applyNumberFormat="1" applyFont="1" applyFill="1" applyBorder="1" applyAlignment="1" applyProtection="1">
      <alignment horizontal="left" vertical="center"/>
      <protection locked="0"/>
    </xf>
    <xf numFmtId="1" fontId="7" fillId="3" borderId="8" xfId="2" applyNumberFormat="1" applyFont="1" applyFill="1" applyBorder="1" applyAlignment="1" applyProtection="1">
      <alignment horizontal="left" vertical="center"/>
      <protection locked="0"/>
    </xf>
  </cellXfs>
  <cellStyles count="5">
    <cellStyle name="Обычный" xfId="0" builtinId="0"/>
    <cellStyle name="Обычный 2 2" xfId="2" xr:uid="{00000000-0005-0000-0000-000001000000}"/>
    <cellStyle name="Обычный 3 2" xfId="3" xr:uid="{00000000-0005-0000-0000-000002000000}"/>
    <cellStyle name="Обычный 3 3 2" xfId="4" xr:uid="{00000000-0005-0000-0000-000003000000}"/>
    <cellStyle name="Обычный 4" xfId="1" xr:uid="{00000000-0005-0000-0000-000004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10"/>
  <sheetViews>
    <sheetView tabSelected="1" zoomScale="85" zoomScaleNormal="85" workbookViewId="0">
      <pane xSplit="1" ySplit="10" topLeftCell="B11" activePane="bottomRight" state="frozen"/>
      <selection activeCell="A4" sqref="A4"/>
      <selection pane="topRight" activeCell="B4" sqref="B4"/>
      <selection pane="bottomLeft" activeCell="A11" sqref="A11"/>
      <selection pane="bottomRight" activeCell="O8" sqref="O8:O10"/>
    </sheetView>
  </sheetViews>
  <sheetFormatPr defaultRowHeight="12.75"/>
  <cols>
    <col min="1" max="1" width="9.140625" style="1"/>
    <col min="2" max="2" width="8.5703125" style="1" customWidth="1"/>
    <col min="3" max="4" width="9.140625" style="1"/>
    <col min="5" max="5" width="10.28515625" style="1" customWidth="1"/>
    <col min="6" max="8" width="9.140625" style="1"/>
    <col min="9" max="10" width="10.7109375" style="1" customWidth="1"/>
    <col min="11" max="11" width="11" style="1" customWidth="1"/>
    <col min="12" max="13" width="10.7109375" style="1" customWidth="1"/>
    <col min="14" max="20" width="13.85546875" style="1" customWidth="1"/>
    <col min="21" max="21" width="16.7109375" style="1" customWidth="1"/>
    <col min="22" max="22" width="14.140625" style="1" customWidth="1"/>
    <col min="23" max="23" width="7.5703125" style="1" customWidth="1"/>
    <col min="24" max="24" width="5.85546875" style="1" customWidth="1"/>
    <col min="25" max="25" width="7.7109375" style="1" customWidth="1"/>
    <col min="26" max="26" width="9.28515625" style="1" customWidth="1"/>
    <col min="27" max="27" width="6.140625" style="1" customWidth="1"/>
    <col min="28" max="28" width="7.5703125" style="1" customWidth="1"/>
    <col min="29" max="29" width="7" style="1" customWidth="1"/>
    <col min="30" max="30" width="9.7109375" style="1" customWidth="1"/>
    <col min="31" max="31" width="6.85546875" style="1" customWidth="1"/>
    <col min="32" max="32" width="7.28515625" style="1" customWidth="1"/>
    <col min="33" max="33" width="9.140625" style="1"/>
    <col min="34" max="34" width="8.28515625" style="1" customWidth="1"/>
    <col min="35" max="35" width="7.7109375" style="1" customWidth="1"/>
    <col min="36" max="38" width="9.140625" style="1"/>
    <col min="39" max="39" width="6.28515625" style="1" customWidth="1"/>
    <col min="40" max="40" width="7.28515625" style="1" customWidth="1"/>
    <col min="41" max="41" width="6.7109375" style="1" customWidth="1"/>
    <col min="42" max="42" width="9.140625" style="1"/>
    <col min="43" max="43" width="6.42578125" style="1" customWidth="1"/>
    <col min="44" max="44" width="6.7109375" style="1" customWidth="1"/>
    <col min="45" max="45" width="6.85546875" style="1" customWidth="1"/>
    <col min="46" max="46" width="7.85546875" style="1" customWidth="1"/>
    <col min="47" max="47" width="6.140625" style="1" customWidth="1"/>
    <col min="48" max="48" width="7.140625" style="1" customWidth="1"/>
    <col min="49" max="49" width="7.28515625" style="1" customWidth="1"/>
    <col min="50" max="50" width="6.85546875" style="1" customWidth="1"/>
    <col min="51" max="51" width="7.28515625" style="1" customWidth="1"/>
    <col min="52" max="53" width="7.7109375" style="1" customWidth="1"/>
    <col min="54" max="54" width="8.28515625" style="1" customWidth="1"/>
    <col min="55" max="55" width="7.5703125" style="1" customWidth="1"/>
    <col min="56" max="56" width="7.28515625" style="1" customWidth="1"/>
    <col min="57" max="58" width="9.140625" style="1"/>
    <col min="59" max="59" width="6.42578125" style="1" customWidth="1"/>
    <col min="60" max="60" width="7.7109375" style="1" customWidth="1"/>
    <col min="61" max="61" width="7.85546875" style="1" customWidth="1"/>
    <col min="62" max="70" width="9.140625" style="1"/>
    <col min="71" max="71" width="7.140625" style="1" customWidth="1"/>
    <col min="72" max="74" width="9.140625" style="1"/>
    <col min="75" max="75" width="6.28515625" style="1" customWidth="1"/>
    <col min="76" max="76" width="7.5703125" style="1" customWidth="1"/>
    <col min="77" max="77" width="8.7109375" style="1" customWidth="1"/>
    <col min="78" max="78" width="7.85546875" style="1" customWidth="1"/>
    <col min="79" max="79" width="7.28515625" style="1" customWidth="1"/>
    <col min="80" max="80" width="9" style="1" customWidth="1"/>
    <col min="81" max="81" width="8.7109375" style="1" customWidth="1"/>
    <col min="82" max="82" width="9.140625" style="1"/>
    <col min="83" max="83" width="7.85546875" style="1" customWidth="1"/>
    <col min="84" max="84" width="8.28515625" style="1" customWidth="1"/>
    <col min="85" max="16384" width="9.140625" style="1"/>
  </cols>
  <sheetData>
    <row r="1" spans="1:118" ht="25.5" hidden="1" customHeight="1">
      <c r="AA1" s="2">
        <v>5206</v>
      </c>
      <c r="AB1" s="2">
        <v>5206</v>
      </c>
      <c r="AC1" s="2">
        <v>5206</v>
      </c>
      <c r="AD1" s="2">
        <v>5206</v>
      </c>
      <c r="AE1" s="2">
        <v>5197</v>
      </c>
      <c r="AF1" s="2">
        <v>5197</v>
      </c>
      <c r="AG1" s="2">
        <v>5197</v>
      </c>
      <c r="AH1" s="2">
        <v>5197</v>
      </c>
      <c r="AI1" s="2">
        <v>108</v>
      </c>
      <c r="AJ1" s="2">
        <v>108</v>
      </c>
      <c r="AK1" s="2">
        <v>108</v>
      </c>
      <c r="AL1" s="2">
        <v>108</v>
      </c>
      <c r="AM1" s="2">
        <v>79</v>
      </c>
      <c r="AN1" s="2">
        <v>79</v>
      </c>
      <c r="AO1" s="2">
        <v>79</v>
      </c>
      <c r="AP1" s="2">
        <v>79</v>
      </c>
      <c r="AQ1" s="2">
        <v>5241</v>
      </c>
      <c r="AR1" s="2">
        <v>5241</v>
      </c>
      <c r="AS1" s="2">
        <v>5241</v>
      </c>
      <c r="AT1" s="2">
        <v>5241</v>
      </c>
      <c r="AU1" s="2">
        <v>5259</v>
      </c>
      <c r="AV1" s="2">
        <v>5259</v>
      </c>
      <c r="AW1" s="2">
        <v>5259</v>
      </c>
      <c r="AX1" s="2">
        <v>5259</v>
      </c>
      <c r="AY1" s="1">
        <v>94</v>
      </c>
      <c r="AZ1" s="1">
        <v>94</v>
      </c>
      <c r="BA1" s="1">
        <v>94</v>
      </c>
      <c r="BB1" s="1">
        <v>94</v>
      </c>
      <c r="BC1" s="2">
        <v>5260</v>
      </c>
      <c r="BD1" s="2">
        <v>5260</v>
      </c>
      <c r="BE1" s="2">
        <v>5260</v>
      </c>
      <c r="BF1" s="2">
        <v>5260</v>
      </c>
      <c r="BG1" s="2">
        <v>5214</v>
      </c>
      <c r="BH1" s="2">
        <v>5214</v>
      </c>
      <c r="BI1" s="2">
        <v>5214</v>
      </c>
      <c r="BJ1" s="2">
        <v>5214</v>
      </c>
      <c r="BK1" s="2">
        <v>5208</v>
      </c>
      <c r="BL1" s="2">
        <v>5208</v>
      </c>
      <c r="BM1" s="2">
        <v>5208</v>
      </c>
      <c r="BN1" s="2">
        <v>5208</v>
      </c>
      <c r="BO1" s="2">
        <v>5254</v>
      </c>
      <c r="BP1" s="2">
        <v>5254</v>
      </c>
      <c r="BQ1" s="2">
        <v>5254</v>
      </c>
      <c r="BR1" s="2">
        <v>5254</v>
      </c>
      <c r="BS1" s="2">
        <v>5211</v>
      </c>
      <c r="BT1" s="2">
        <v>5211</v>
      </c>
      <c r="BU1" s="2">
        <v>5211</v>
      </c>
      <c r="BV1" s="2">
        <v>5211</v>
      </c>
      <c r="BW1" s="2">
        <v>5215</v>
      </c>
      <c r="BX1" s="2">
        <v>5215</v>
      </c>
      <c r="BY1" s="2">
        <v>5215</v>
      </c>
      <c r="BZ1" s="2">
        <v>5215</v>
      </c>
      <c r="CA1" s="2">
        <v>5233</v>
      </c>
      <c r="CB1" s="2">
        <v>5233</v>
      </c>
      <c r="CC1" s="2">
        <v>5233</v>
      </c>
      <c r="CD1" s="2">
        <v>5233</v>
      </c>
      <c r="CE1" s="2">
        <v>5232</v>
      </c>
      <c r="CF1" s="2">
        <v>5232</v>
      </c>
      <c r="CG1" s="2">
        <v>5232</v>
      </c>
      <c r="CH1" s="2">
        <v>5232</v>
      </c>
      <c r="CI1" s="2">
        <v>5223</v>
      </c>
      <c r="CJ1" s="2">
        <v>5223</v>
      </c>
      <c r="CK1" s="2">
        <v>5223</v>
      </c>
      <c r="CL1" s="2">
        <v>5223</v>
      </c>
      <c r="CM1" s="2">
        <v>5218</v>
      </c>
      <c r="CN1" s="2">
        <v>5218</v>
      </c>
      <c r="CO1" s="2">
        <v>5218</v>
      </c>
      <c r="CP1" s="2">
        <v>5218</v>
      </c>
      <c r="CQ1" s="1">
        <v>5213</v>
      </c>
      <c r="CR1" s="1">
        <v>5213</v>
      </c>
      <c r="CS1" s="1">
        <v>5213</v>
      </c>
      <c r="CT1" s="1">
        <v>5213</v>
      </c>
      <c r="CU1" s="3">
        <v>104</v>
      </c>
      <c r="CV1" s="3">
        <v>104</v>
      </c>
      <c r="CW1" s="3">
        <v>104</v>
      </c>
      <c r="CX1" s="3">
        <v>104</v>
      </c>
      <c r="CY1" s="1">
        <v>5261</v>
      </c>
      <c r="CZ1" s="1">
        <v>5261</v>
      </c>
      <c r="DA1" s="1">
        <v>5261</v>
      </c>
      <c r="DB1" s="1">
        <v>5261</v>
      </c>
      <c r="DG1" s="18">
        <v>5296</v>
      </c>
      <c r="DH1" s="18">
        <v>5296</v>
      </c>
      <c r="DI1" s="18">
        <v>5296</v>
      </c>
      <c r="DJ1" s="18">
        <v>5296</v>
      </c>
    </row>
    <row r="2" spans="1:118" ht="39.75" hidden="1" customHeight="1">
      <c r="AY2" s="2"/>
      <c r="AZ2" s="2"/>
      <c r="BA2" s="2"/>
      <c r="BB2" s="2"/>
      <c r="DC2" s="1">
        <v>22390</v>
      </c>
      <c r="DD2" s="1">
        <v>22390</v>
      </c>
      <c r="DE2" s="1">
        <v>22390</v>
      </c>
      <c r="DF2" s="1">
        <v>22390</v>
      </c>
    </row>
    <row r="3" spans="1:118" ht="34.5" hidden="1" customHeight="1">
      <c r="W3" s="2" t="s">
        <v>11</v>
      </c>
      <c r="X3" s="2" t="s">
        <v>11</v>
      </c>
      <c r="Y3" s="2" t="s">
        <v>11</v>
      </c>
      <c r="Z3" s="2" t="s">
        <v>11</v>
      </c>
    </row>
    <row r="4" spans="1:118">
      <c r="A4" s="2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4"/>
    </row>
    <row r="5" spans="1:118" ht="15" customHeight="1">
      <c r="A5" s="30" t="s">
        <v>79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4"/>
    </row>
    <row r="6" spans="1:118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</row>
    <row r="7" spans="1:118" s="14" customFormat="1" ht="15" customHeight="1">
      <c r="A7" s="15"/>
    </row>
    <row r="8" spans="1:118" ht="12" customHeight="1">
      <c r="A8" s="15"/>
      <c r="B8" s="20" t="s">
        <v>0</v>
      </c>
      <c r="C8" s="20" t="s">
        <v>3</v>
      </c>
      <c r="D8" s="20" t="s">
        <v>2</v>
      </c>
      <c r="E8" s="20" t="s">
        <v>4</v>
      </c>
      <c r="F8" s="20" t="s">
        <v>1</v>
      </c>
      <c r="G8" s="20" t="s">
        <v>9</v>
      </c>
      <c r="H8" s="20" t="s">
        <v>69</v>
      </c>
      <c r="I8" s="20" t="s">
        <v>10</v>
      </c>
      <c r="J8" s="21" t="s">
        <v>70</v>
      </c>
      <c r="K8" s="21" t="s">
        <v>55</v>
      </c>
      <c r="L8" s="20" t="s">
        <v>56</v>
      </c>
      <c r="M8" s="20" t="s">
        <v>77</v>
      </c>
      <c r="N8" s="20" t="s">
        <v>8</v>
      </c>
      <c r="O8" s="20" t="s">
        <v>60</v>
      </c>
      <c r="P8" s="20" t="s">
        <v>74</v>
      </c>
      <c r="Q8" s="20" t="s">
        <v>75</v>
      </c>
      <c r="R8" s="20" t="s">
        <v>12</v>
      </c>
      <c r="S8" s="20" t="s">
        <v>63</v>
      </c>
      <c r="T8" s="20" t="s">
        <v>61</v>
      </c>
      <c r="U8" s="20" t="s">
        <v>53</v>
      </c>
      <c r="V8" s="20" t="s">
        <v>54</v>
      </c>
      <c r="W8" s="28" t="s">
        <v>5</v>
      </c>
      <c r="X8" s="28"/>
      <c r="Y8" s="28"/>
      <c r="Z8" s="28"/>
      <c r="AA8" s="32" t="s">
        <v>6</v>
      </c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</row>
    <row r="9" spans="1:118" ht="31.5" customHeight="1">
      <c r="B9" s="20"/>
      <c r="C9" s="20"/>
      <c r="D9" s="20"/>
      <c r="E9" s="20"/>
      <c r="F9" s="20"/>
      <c r="G9" s="20"/>
      <c r="H9" s="20"/>
      <c r="I9" s="20"/>
      <c r="J9" s="22"/>
      <c r="K9" s="22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33"/>
      <c r="X9" s="33"/>
      <c r="Y9" s="33"/>
      <c r="Z9" s="33"/>
      <c r="AA9" s="28" t="s">
        <v>33</v>
      </c>
      <c r="AB9" s="28"/>
      <c r="AC9" s="28"/>
      <c r="AD9" s="28"/>
      <c r="AE9" s="28" t="s">
        <v>34</v>
      </c>
      <c r="AF9" s="28"/>
      <c r="AG9" s="28"/>
      <c r="AH9" s="28"/>
      <c r="AI9" s="28" t="s">
        <v>35</v>
      </c>
      <c r="AJ9" s="28"/>
      <c r="AK9" s="28"/>
      <c r="AL9" s="28"/>
      <c r="AM9" s="28" t="s">
        <v>36</v>
      </c>
      <c r="AN9" s="28"/>
      <c r="AO9" s="28"/>
      <c r="AP9" s="28"/>
      <c r="AQ9" s="28" t="s">
        <v>37</v>
      </c>
      <c r="AR9" s="28"/>
      <c r="AS9" s="28"/>
      <c r="AT9" s="28"/>
      <c r="AU9" s="28" t="s">
        <v>38</v>
      </c>
      <c r="AV9" s="28"/>
      <c r="AW9" s="28"/>
      <c r="AX9" s="28"/>
      <c r="AY9" s="28" t="s">
        <v>39</v>
      </c>
      <c r="AZ9" s="28"/>
      <c r="BA9" s="28"/>
      <c r="BB9" s="28"/>
      <c r="BC9" s="28" t="s">
        <v>40</v>
      </c>
      <c r="BD9" s="28"/>
      <c r="BE9" s="28"/>
      <c r="BF9" s="28"/>
      <c r="BG9" s="28" t="s">
        <v>41</v>
      </c>
      <c r="BH9" s="28"/>
      <c r="BI9" s="28"/>
      <c r="BJ9" s="28"/>
      <c r="BK9" s="24" t="s">
        <v>42</v>
      </c>
      <c r="BL9" s="24"/>
      <c r="BM9" s="24"/>
      <c r="BN9" s="24"/>
      <c r="BO9" s="24" t="s">
        <v>43</v>
      </c>
      <c r="BP9" s="24"/>
      <c r="BQ9" s="24"/>
      <c r="BR9" s="24"/>
      <c r="BS9" s="24" t="s">
        <v>67</v>
      </c>
      <c r="BT9" s="24"/>
      <c r="BU9" s="24"/>
      <c r="BV9" s="24"/>
      <c r="BW9" s="24" t="s">
        <v>44</v>
      </c>
      <c r="BX9" s="24"/>
      <c r="BY9" s="24"/>
      <c r="BZ9" s="24"/>
      <c r="CA9" s="24" t="s">
        <v>45</v>
      </c>
      <c r="CB9" s="24"/>
      <c r="CC9" s="24"/>
      <c r="CD9" s="24"/>
      <c r="CE9" s="24" t="s">
        <v>46</v>
      </c>
      <c r="CF9" s="24"/>
      <c r="CG9" s="24"/>
      <c r="CH9" s="24"/>
      <c r="CI9" s="24" t="s">
        <v>47</v>
      </c>
      <c r="CJ9" s="24"/>
      <c r="CK9" s="24"/>
      <c r="CL9" s="24"/>
      <c r="CM9" s="24" t="s">
        <v>48</v>
      </c>
      <c r="CN9" s="24"/>
      <c r="CO9" s="24"/>
      <c r="CP9" s="24"/>
      <c r="CQ9" s="24" t="s">
        <v>49</v>
      </c>
      <c r="CR9" s="24"/>
      <c r="CS9" s="24"/>
      <c r="CT9" s="24"/>
      <c r="CU9" s="24" t="s">
        <v>50</v>
      </c>
      <c r="CV9" s="24"/>
      <c r="CW9" s="24"/>
      <c r="CX9" s="24"/>
      <c r="CY9" s="24" t="s">
        <v>51</v>
      </c>
      <c r="CZ9" s="24"/>
      <c r="DA9" s="24"/>
      <c r="DB9" s="24"/>
      <c r="DC9" s="24" t="s">
        <v>66</v>
      </c>
      <c r="DD9" s="24"/>
      <c r="DE9" s="24"/>
      <c r="DF9" s="24"/>
      <c r="DG9" s="25" t="s">
        <v>72</v>
      </c>
      <c r="DH9" s="26"/>
      <c r="DI9" s="26"/>
      <c r="DJ9" s="27"/>
      <c r="DK9" s="24" t="s">
        <v>52</v>
      </c>
      <c r="DL9" s="24"/>
      <c r="DM9" s="24"/>
      <c r="DN9" s="24"/>
    </row>
    <row r="10" spans="1:118" ht="68.25" customHeight="1">
      <c r="B10" s="20"/>
      <c r="C10" s="20"/>
      <c r="D10" s="20"/>
      <c r="E10" s="20"/>
      <c r="F10" s="20"/>
      <c r="G10" s="20"/>
      <c r="H10" s="20"/>
      <c r="I10" s="20"/>
      <c r="J10" s="23"/>
      <c r="K10" s="23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5" t="s">
        <v>7</v>
      </c>
      <c r="X10" s="7" t="s">
        <v>13</v>
      </c>
      <c r="Y10" s="6" t="s">
        <v>14</v>
      </c>
      <c r="Z10" s="6" t="s">
        <v>15</v>
      </c>
      <c r="AA10" s="6" t="s">
        <v>32</v>
      </c>
      <c r="AB10" s="7" t="s">
        <v>13</v>
      </c>
      <c r="AC10" s="6" t="s">
        <v>14</v>
      </c>
      <c r="AD10" s="6" t="s">
        <v>15</v>
      </c>
      <c r="AE10" s="6" t="s">
        <v>32</v>
      </c>
      <c r="AF10" s="7" t="s">
        <v>13</v>
      </c>
      <c r="AG10" s="6" t="s">
        <v>14</v>
      </c>
      <c r="AH10" s="6" t="s">
        <v>15</v>
      </c>
      <c r="AI10" s="6" t="s">
        <v>32</v>
      </c>
      <c r="AJ10" s="7" t="s">
        <v>13</v>
      </c>
      <c r="AK10" s="6" t="s">
        <v>14</v>
      </c>
      <c r="AL10" s="6" t="s">
        <v>15</v>
      </c>
      <c r="AM10" s="6" t="s">
        <v>32</v>
      </c>
      <c r="AN10" s="7" t="s">
        <v>13</v>
      </c>
      <c r="AO10" s="6" t="s">
        <v>14</v>
      </c>
      <c r="AP10" s="6" t="s">
        <v>15</v>
      </c>
      <c r="AQ10" s="6" t="s">
        <v>32</v>
      </c>
      <c r="AR10" s="7" t="s">
        <v>13</v>
      </c>
      <c r="AS10" s="6" t="s">
        <v>14</v>
      </c>
      <c r="AT10" s="6" t="s">
        <v>15</v>
      </c>
      <c r="AU10" s="6" t="s">
        <v>32</v>
      </c>
      <c r="AV10" s="7" t="s">
        <v>13</v>
      </c>
      <c r="AW10" s="6" t="s">
        <v>14</v>
      </c>
      <c r="AX10" s="6" t="s">
        <v>15</v>
      </c>
      <c r="AY10" s="6" t="s">
        <v>32</v>
      </c>
      <c r="AZ10" s="7" t="s">
        <v>13</v>
      </c>
      <c r="BA10" s="6" t="s">
        <v>14</v>
      </c>
      <c r="BB10" s="6" t="s">
        <v>15</v>
      </c>
      <c r="BC10" s="6" t="s">
        <v>32</v>
      </c>
      <c r="BD10" s="7" t="s">
        <v>13</v>
      </c>
      <c r="BE10" s="6" t="s">
        <v>14</v>
      </c>
      <c r="BF10" s="6" t="s">
        <v>15</v>
      </c>
      <c r="BG10" s="6" t="s">
        <v>32</v>
      </c>
      <c r="BH10" s="7" t="s">
        <v>13</v>
      </c>
      <c r="BI10" s="6" t="s">
        <v>14</v>
      </c>
      <c r="BJ10" s="6" t="s">
        <v>15</v>
      </c>
      <c r="BK10" s="6" t="s">
        <v>32</v>
      </c>
      <c r="BL10" s="7" t="s">
        <v>13</v>
      </c>
      <c r="BM10" s="6" t="s">
        <v>14</v>
      </c>
      <c r="BN10" s="6" t="s">
        <v>15</v>
      </c>
      <c r="BO10" s="6" t="s">
        <v>32</v>
      </c>
      <c r="BP10" s="7" t="s">
        <v>13</v>
      </c>
      <c r="BQ10" s="6" t="s">
        <v>14</v>
      </c>
      <c r="BR10" s="6" t="s">
        <v>15</v>
      </c>
      <c r="BS10" s="6" t="s">
        <v>32</v>
      </c>
      <c r="BT10" s="7" t="s">
        <v>13</v>
      </c>
      <c r="BU10" s="6" t="s">
        <v>14</v>
      </c>
      <c r="BV10" s="6" t="s">
        <v>15</v>
      </c>
      <c r="BW10" s="6" t="s">
        <v>32</v>
      </c>
      <c r="BX10" s="7" t="s">
        <v>13</v>
      </c>
      <c r="BY10" s="6" t="s">
        <v>14</v>
      </c>
      <c r="BZ10" s="6" t="s">
        <v>15</v>
      </c>
      <c r="CA10" s="6" t="s">
        <v>32</v>
      </c>
      <c r="CB10" s="7" t="s">
        <v>13</v>
      </c>
      <c r="CC10" s="6" t="s">
        <v>14</v>
      </c>
      <c r="CD10" s="6" t="s">
        <v>15</v>
      </c>
      <c r="CE10" s="6" t="s">
        <v>32</v>
      </c>
      <c r="CF10" s="7" t="s">
        <v>13</v>
      </c>
      <c r="CG10" s="6" t="s">
        <v>14</v>
      </c>
      <c r="CH10" s="6" t="s">
        <v>15</v>
      </c>
      <c r="CI10" s="6" t="s">
        <v>32</v>
      </c>
      <c r="CJ10" s="7" t="s">
        <v>13</v>
      </c>
      <c r="CK10" s="6" t="s">
        <v>14</v>
      </c>
      <c r="CL10" s="6" t="s">
        <v>15</v>
      </c>
      <c r="CM10" s="6" t="s">
        <v>32</v>
      </c>
      <c r="CN10" s="7" t="s">
        <v>13</v>
      </c>
      <c r="CO10" s="6" t="s">
        <v>14</v>
      </c>
      <c r="CP10" s="6" t="s">
        <v>15</v>
      </c>
      <c r="CQ10" s="6" t="s">
        <v>32</v>
      </c>
      <c r="CR10" s="7" t="s">
        <v>13</v>
      </c>
      <c r="CS10" s="6" t="s">
        <v>14</v>
      </c>
      <c r="CT10" s="6" t="s">
        <v>15</v>
      </c>
      <c r="CU10" s="6" t="s">
        <v>32</v>
      </c>
      <c r="CV10" s="7" t="s">
        <v>13</v>
      </c>
      <c r="CW10" s="6" t="s">
        <v>14</v>
      </c>
      <c r="CX10" s="6" t="s">
        <v>15</v>
      </c>
      <c r="CY10" s="6" t="s">
        <v>32</v>
      </c>
      <c r="CZ10" s="7" t="s">
        <v>13</v>
      </c>
      <c r="DA10" s="6" t="s">
        <v>14</v>
      </c>
      <c r="DB10" s="6" t="s">
        <v>15</v>
      </c>
      <c r="DC10" s="6" t="s">
        <v>32</v>
      </c>
      <c r="DD10" s="7" t="s">
        <v>13</v>
      </c>
      <c r="DE10" s="6" t="s">
        <v>14</v>
      </c>
      <c r="DF10" s="6" t="s">
        <v>15</v>
      </c>
      <c r="DG10" s="6" t="s">
        <v>32</v>
      </c>
      <c r="DH10" s="7" t="s">
        <v>13</v>
      </c>
      <c r="DI10" s="6" t="s">
        <v>14</v>
      </c>
      <c r="DJ10" s="6" t="s">
        <v>15</v>
      </c>
      <c r="DK10" s="6" t="s">
        <v>32</v>
      </c>
      <c r="DL10" s="7" t="s">
        <v>13</v>
      </c>
      <c r="DM10" s="6" t="s">
        <v>14</v>
      </c>
      <c r="DN10" s="6" t="s">
        <v>15</v>
      </c>
    </row>
  </sheetData>
  <autoFilter ref="A10:DN10" xr:uid="{00000000-0009-0000-0000-000000000000}"/>
  <mergeCells count="49">
    <mergeCell ref="DK9:DN9"/>
    <mergeCell ref="CY9:DB9"/>
    <mergeCell ref="W8:Z9"/>
    <mergeCell ref="AU9:AX9"/>
    <mergeCell ref="BO9:BR9"/>
    <mergeCell ref="CM9:CP9"/>
    <mergeCell ref="CI9:CL9"/>
    <mergeCell ref="CE9:CH9"/>
    <mergeCell ref="BW9:BZ9"/>
    <mergeCell ref="BK9:BN9"/>
    <mergeCell ref="AE9:AH9"/>
    <mergeCell ref="AI9:AL9"/>
    <mergeCell ref="AM9:AP9"/>
    <mergeCell ref="AQ9:AT9"/>
    <mergeCell ref="AY9:BB9"/>
    <mergeCell ref="B4:AG4"/>
    <mergeCell ref="A5:AG5"/>
    <mergeCell ref="A6:AH6"/>
    <mergeCell ref="AA8:DN8"/>
    <mergeCell ref="G8:G10"/>
    <mergeCell ref="I8:I10"/>
    <mergeCell ref="L8:L10"/>
    <mergeCell ref="N8:N10"/>
    <mergeCell ref="AA9:AD9"/>
    <mergeCell ref="B8:B10"/>
    <mergeCell ref="C8:C10"/>
    <mergeCell ref="D8:D10"/>
    <mergeCell ref="CA9:CD9"/>
    <mergeCell ref="CQ9:CT9"/>
    <mergeCell ref="BS9:BV9"/>
    <mergeCell ref="M8:M10"/>
    <mergeCell ref="CU9:CX9"/>
    <mergeCell ref="DG9:DJ9"/>
    <mergeCell ref="BC9:BF9"/>
    <mergeCell ref="BG9:BJ9"/>
    <mergeCell ref="S8:S10"/>
    <mergeCell ref="V8:V10"/>
    <mergeCell ref="DC9:DF9"/>
    <mergeCell ref="E8:E10"/>
    <mergeCell ref="F8:F10"/>
    <mergeCell ref="R8:R10"/>
    <mergeCell ref="U8:U10"/>
    <mergeCell ref="K8:K10"/>
    <mergeCell ref="O8:O10"/>
    <mergeCell ref="T8:T10"/>
    <mergeCell ref="H8:H10"/>
    <mergeCell ref="J8:J10"/>
    <mergeCell ref="Q8:Q10"/>
    <mergeCell ref="P8:P10"/>
  </mergeCells>
  <conditionalFormatting sqref="DK9:DN9">
    <cfRule type="duplicateValues" dxfId="5" priority="13"/>
  </conditionalFormatting>
  <conditionalFormatting sqref="BK9:BN9">
    <cfRule type="duplicateValues" dxfId="4" priority="10"/>
  </conditionalFormatting>
  <conditionalFormatting sqref="BS9:BV9">
    <cfRule type="duplicateValues" dxfId="3" priority="9"/>
  </conditionalFormatting>
  <conditionalFormatting sqref="BO9:BR9">
    <cfRule type="duplicateValues" dxfId="2" priority="2"/>
  </conditionalFormatting>
  <conditionalFormatting sqref="AA9:BJ9 BW9:DB9">
    <cfRule type="duplicateValues" dxfId="1" priority="26"/>
  </conditionalFormatting>
  <conditionalFormatting sqref="DC9:DG9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O3"/>
  <sheetViews>
    <sheetView topLeftCell="CM1" workbookViewId="0">
      <selection activeCell="DO1" sqref="DO1"/>
    </sheetView>
  </sheetViews>
  <sheetFormatPr defaultRowHeight="15"/>
  <sheetData>
    <row r="1" spans="2:119">
      <c r="B1" s="10" t="s">
        <v>16</v>
      </c>
      <c r="C1" s="11" t="s">
        <v>17</v>
      </c>
      <c r="D1" s="8" t="s">
        <v>18</v>
      </c>
      <c r="E1" s="8" t="s">
        <v>19</v>
      </c>
      <c r="F1" s="10" t="s">
        <v>20</v>
      </c>
      <c r="G1" s="8" t="s">
        <v>21</v>
      </c>
      <c r="H1" s="8" t="s">
        <v>68</v>
      </c>
      <c r="I1" s="8" t="s">
        <v>22</v>
      </c>
      <c r="J1" s="8" t="s">
        <v>71</v>
      </c>
      <c r="K1" s="8" t="s">
        <v>57</v>
      </c>
      <c r="L1" s="8" t="s">
        <v>23</v>
      </c>
      <c r="M1" s="8" t="s">
        <v>78</v>
      </c>
      <c r="N1" s="8" t="s">
        <v>24</v>
      </c>
      <c r="O1" s="8" t="s">
        <v>59</v>
      </c>
      <c r="P1" s="19" t="s">
        <v>76</v>
      </c>
      <c r="Q1" s="19" t="s">
        <v>73</v>
      </c>
      <c r="R1" s="8" t="s">
        <v>25</v>
      </c>
      <c r="S1" s="9" t="s">
        <v>64</v>
      </c>
      <c r="T1" s="9" t="s">
        <v>62</v>
      </c>
      <c r="U1" s="9" t="s">
        <v>26</v>
      </c>
      <c r="V1" s="9" t="s">
        <v>27</v>
      </c>
      <c r="W1" s="9" t="s">
        <v>28</v>
      </c>
      <c r="X1" s="8" t="s">
        <v>29</v>
      </c>
      <c r="Y1" s="8" t="s">
        <v>31</v>
      </c>
      <c r="Z1" s="8" t="s">
        <v>30</v>
      </c>
      <c r="AA1" s="9" t="s">
        <v>28</v>
      </c>
      <c r="AB1" s="8" t="s">
        <v>29</v>
      </c>
      <c r="AC1" s="8" t="s">
        <v>31</v>
      </c>
      <c r="AD1" s="8" t="s">
        <v>30</v>
      </c>
      <c r="AE1" s="9" t="s">
        <v>28</v>
      </c>
      <c r="AF1" s="8" t="s">
        <v>29</v>
      </c>
      <c r="AG1" s="8" t="s">
        <v>31</v>
      </c>
      <c r="AH1" s="8" t="s">
        <v>30</v>
      </c>
      <c r="AI1" s="9" t="s">
        <v>28</v>
      </c>
      <c r="AJ1" s="8" t="s">
        <v>29</v>
      </c>
      <c r="AK1" s="8" t="s">
        <v>31</v>
      </c>
      <c r="AL1" s="8" t="s">
        <v>30</v>
      </c>
      <c r="AM1" s="9" t="s">
        <v>28</v>
      </c>
      <c r="AN1" s="8" t="s">
        <v>29</v>
      </c>
      <c r="AO1" s="8" t="s">
        <v>31</v>
      </c>
      <c r="AP1" s="8" t="s">
        <v>30</v>
      </c>
      <c r="AQ1" s="9" t="s">
        <v>28</v>
      </c>
      <c r="AR1" s="8" t="s">
        <v>29</v>
      </c>
      <c r="AS1" s="8" t="s">
        <v>31</v>
      </c>
      <c r="AT1" s="8" t="s">
        <v>30</v>
      </c>
      <c r="AU1" s="9" t="s">
        <v>28</v>
      </c>
      <c r="AV1" s="8" t="s">
        <v>29</v>
      </c>
      <c r="AW1" s="8" t="s">
        <v>31</v>
      </c>
      <c r="AX1" s="8" t="s">
        <v>30</v>
      </c>
      <c r="AY1" s="9" t="s">
        <v>28</v>
      </c>
      <c r="AZ1" s="8" t="s">
        <v>29</v>
      </c>
      <c r="BA1" s="8" t="s">
        <v>31</v>
      </c>
      <c r="BB1" s="8" t="s">
        <v>30</v>
      </c>
      <c r="BC1" s="9" t="s">
        <v>28</v>
      </c>
      <c r="BD1" s="8" t="s">
        <v>29</v>
      </c>
      <c r="BE1" s="8" t="s">
        <v>31</v>
      </c>
      <c r="BF1" s="8" t="s">
        <v>30</v>
      </c>
      <c r="BG1" s="9" t="s">
        <v>28</v>
      </c>
      <c r="BH1" s="8" t="s">
        <v>29</v>
      </c>
      <c r="BI1" s="8" t="s">
        <v>31</v>
      </c>
      <c r="BJ1" s="8" t="s">
        <v>30</v>
      </c>
      <c r="BK1" s="9" t="s">
        <v>28</v>
      </c>
      <c r="BL1" s="8" t="s">
        <v>29</v>
      </c>
      <c r="BM1" s="8" t="s">
        <v>31</v>
      </c>
      <c r="BN1" s="8" t="s">
        <v>30</v>
      </c>
      <c r="BO1" s="9" t="s">
        <v>28</v>
      </c>
      <c r="BP1" s="8" t="s">
        <v>29</v>
      </c>
      <c r="BQ1" s="8" t="s">
        <v>31</v>
      </c>
      <c r="BR1" s="8" t="s">
        <v>30</v>
      </c>
      <c r="BS1" s="9" t="s">
        <v>28</v>
      </c>
      <c r="BT1" s="8" t="s">
        <v>29</v>
      </c>
      <c r="BU1" s="8" t="s">
        <v>31</v>
      </c>
      <c r="BV1" s="8" t="s">
        <v>30</v>
      </c>
      <c r="BW1" s="9" t="s">
        <v>28</v>
      </c>
      <c r="BX1" s="8" t="s">
        <v>29</v>
      </c>
      <c r="BY1" s="8" t="s">
        <v>31</v>
      </c>
      <c r="BZ1" s="8" t="s">
        <v>30</v>
      </c>
      <c r="CA1" s="9" t="s">
        <v>28</v>
      </c>
      <c r="CB1" s="8" t="s">
        <v>29</v>
      </c>
      <c r="CC1" s="8" t="s">
        <v>31</v>
      </c>
      <c r="CD1" s="8" t="s">
        <v>30</v>
      </c>
      <c r="CE1" s="9" t="s">
        <v>28</v>
      </c>
      <c r="CF1" s="8" t="s">
        <v>29</v>
      </c>
      <c r="CG1" s="8" t="s">
        <v>31</v>
      </c>
      <c r="CH1" s="8" t="s">
        <v>30</v>
      </c>
      <c r="CI1" s="9" t="s">
        <v>28</v>
      </c>
      <c r="CJ1" s="8" t="s">
        <v>29</v>
      </c>
      <c r="CK1" s="8" t="s">
        <v>31</v>
      </c>
      <c r="CL1" s="8" t="s">
        <v>30</v>
      </c>
      <c r="CM1" s="9" t="s">
        <v>28</v>
      </c>
      <c r="CN1" s="8" t="s">
        <v>29</v>
      </c>
      <c r="CO1" s="8" t="s">
        <v>31</v>
      </c>
      <c r="CP1" s="8" t="s">
        <v>30</v>
      </c>
      <c r="CQ1" s="9" t="s">
        <v>28</v>
      </c>
      <c r="CR1" s="8" t="s">
        <v>29</v>
      </c>
      <c r="CS1" s="8" t="s">
        <v>31</v>
      </c>
      <c r="CT1" s="8" t="s">
        <v>30</v>
      </c>
      <c r="CU1" s="9" t="s">
        <v>28</v>
      </c>
      <c r="CV1" s="8" t="s">
        <v>29</v>
      </c>
      <c r="CW1" s="8" t="s">
        <v>31</v>
      </c>
      <c r="CX1" s="8" t="s">
        <v>30</v>
      </c>
      <c r="CY1" s="9" t="s">
        <v>28</v>
      </c>
      <c r="CZ1" s="8" t="s">
        <v>29</v>
      </c>
      <c r="DA1" s="8" t="s">
        <v>31</v>
      </c>
      <c r="DB1" s="8" t="s">
        <v>30</v>
      </c>
      <c r="DC1" s="9" t="s">
        <v>28</v>
      </c>
      <c r="DD1" s="8" t="s">
        <v>29</v>
      </c>
      <c r="DE1" s="8" t="s">
        <v>31</v>
      </c>
      <c r="DF1" s="8" t="s">
        <v>30</v>
      </c>
      <c r="DG1" s="9" t="s">
        <v>28</v>
      </c>
      <c r="DH1" s="8" t="s">
        <v>29</v>
      </c>
      <c r="DI1" s="8" t="s">
        <v>31</v>
      </c>
      <c r="DJ1" s="8" t="s">
        <v>30</v>
      </c>
      <c r="DK1" s="9" t="s">
        <v>28</v>
      </c>
      <c r="DL1" s="8" t="s">
        <v>29</v>
      </c>
      <c r="DM1" s="8" t="s">
        <v>31</v>
      </c>
      <c r="DN1" s="8" t="s">
        <v>30</v>
      </c>
      <c r="DO1" t="str">
        <f>IF(ABS(SUM(AA11,AE11,AI11,AM11,AQ11,AU11,AY11,BC11,BG11,BW11,CA11,CE11,CI11,CM11,CQ11,CU11,DK11)-W11)&gt;0.1,"Ошибка","")</f>
        <v/>
      </c>
    </row>
    <row r="2" spans="2:119">
      <c r="B2" s="34" t="s">
        <v>58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6"/>
      <c r="S2" s="12"/>
      <c r="T2" s="12"/>
      <c r="U2" s="12"/>
      <c r="V2" s="12"/>
      <c r="W2" s="12"/>
      <c r="X2" s="13"/>
      <c r="Y2" s="13"/>
      <c r="Z2" s="13"/>
      <c r="AA2" s="12"/>
      <c r="AB2" s="13"/>
      <c r="AC2" s="13"/>
      <c r="AD2" s="13"/>
      <c r="AE2" s="12"/>
      <c r="AF2" s="13"/>
      <c r="AG2" s="13"/>
      <c r="AH2" s="13"/>
      <c r="AI2" s="12"/>
      <c r="AJ2" s="13"/>
      <c r="AK2" s="13"/>
      <c r="AL2" s="13"/>
      <c r="AM2" s="12"/>
      <c r="AN2" s="13"/>
      <c r="AO2" s="13"/>
      <c r="AP2" s="13"/>
      <c r="AQ2" s="12"/>
      <c r="AR2" s="13"/>
      <c r="AS2" s="13"/>
      <c r="AT2" s="13"/>
      <c r="AU2" s="12"/>
      <c r="AV2" s="13"/>
      <c r="AW2" s="13"/>
      <c r="AX2" s="13"/>
      <c r="AY2" s="12"/>
      <c r="AZ2" s="13"/>
      <c r="BA2" s="13"/>
      <c r="BB2" s="13"/>
      <c r="BC2" s="12"/>
      <c r="BD2" s="13"/>
      <c r="BE2" s="13"/>
      <c r="BF2" s="13"/>
      <c r="BG2" s="12"/>
      <c r="BH2" s="13"/>
      <c r="BI2" s="13"/>
      <c r="BJ2" s="13"/>
      <c r="BK2" s="12"/>
      <c r="BL2" s="13"/>
      <c r="BM2" s="13"/>
      <c r="BN2" s="13"/>
      <c r="BO2" s="12"/>
      <c r="BP2" s="13"/>
      <c r="BQ2" s="13"/>
      <c r="BR2" s="13"/>
      <c r="BS2" s="12"/>
      <c r="BT2" s="13"/>
      <c r="BU2" s="13"/>
      <c r="BV2" s="13"/>
      <c r="BW2" s="12"/>
      <c r="BX2" s="13"/>
      <c r="BY2" s="13"/>
      <c r="BZ2" s="13"/>
      <c r="CA2" s="12"/>
      <c r="CB2" s="13"/>
      <c r="CC2" s="13"/>
      <c r="CD2" s="13"/>
      <c r="CE2" s="12"/>
      <c r="CF2" s="13"/>
      <c r="CG2" s="13"/>
      <c r="CH2" s="13"/>
      <c r="CI2" s="12"/>
      <c r="CJ2" s="13"/>
      <c r="CK2" s="13"/>
      <c r="CL2" s="13"/>
      <c r="CM2" s="12"/>
      <c r="CN2" s="13"/>
      <c r="CO2" s="13"/>
      <c r="CP2" s="13"/>
      <c r="CQ2" s="12"/>
      <c r="CR2" s="13"/>
      <c r="CS2" s="13"/>
      <c r="CT2" s="13"/>
      <c r="CU2" s="12"/>
      <c r="CV2" s="13"/>
      <c r="CW2" s="13"/>
      <c r="CX2" s="13"/>
      <c r="CY2" s="12"/>
      <c r="CZ2" s="13"/>
      <c r="DA2" s="13"/>
      <c r="DB2" s="13"/>
      <c r="DC2" s="12"/>
      <c r="DD2" s="13"/>
      <c r="DE2" s="13"/>
      <c r="DF2" s="13"/>
      <c r="DG2" s="12"/>
      <c r="DH2" s="13"/>
      <c r="DI2" s="13"/>
      <c r="DJ2" s="13"/>
      <c r="DK2" s="12"/>
      <c r="DL2" s="13"/>
      <c r="DM2" s="13"/>
      <c r="DN2" s="13"/>
    </row>
    <row r="3" spans="2:119">
      <c r="B3" s="37" t="s">
        <v>65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9"/>
      <c r="S3" s="16"/>
      <c r="T3" s="16"/>
      <c r="U3" s="16"/>
      <c r="V3" s="16"/>
      <c r="W3" s="16"/>
      <c r="X3" s="17"/>
      <c r="Y3" s="17"/>
      <c r="Z3" s="17"/>
      <c r="AA3" s="16"/>
      <c r="AB3" s="17"/>
      <c r="AC3" s="17"/>
      <c r="AD3" s="17"/>
      <c r="AE3" s="16"/>
      <c r="AF3" s="17"/>
      <c r="AG3" s="17"/>
      <c r="AH3" s="17"/>
      <c r="AI3" s="16"/>
      <c r="AJ3" s="17"/>
      <c r="AK3" s="17"/>
      <c r="AL3" s="17"/>
      <c r="AM3" s="16"/>
      <c r="AN3" s="17"/>
      <c r="AO3" s="17"/>
      <c r="AP3" s="17"/>
      <c r="AQ3" s="16"/>
      <c r="AR3" s="17"/>
      <c r="AS3" s="17"/>
      <c r="AT3" s="17"/>
      <c r="AU3" s="16"/>
      <c r="AV3" s="17"/>
      <c r="AW3" s="17"/>
      <c r="AX3" s="17"/>
      <c r="AY3" s="16"/>
      <c r="AZ3" s="17"/>
      <c r="BA3" s="17"/>
      <c r="BB3" s="17"/>
      <c r="BC3" s="16"/>
      <c r="BD3" s="17"/>
      <c r="BE3" s="17"/>
      <c r="BF3" s="17"/>
      <c r="BG3" s="16"/>
      <c r="BH3" s="17"/>
      <c r="BI3" s="17"/>
      <c r="BJ3" s="17"/>
      <c r="BK3" s="16"/>
      <c r="BL3" s="17"/>
      <c r="BM3" s="17"/>
      <c r="BN3" s="17"/>
      <c r="BO3" s="16"/>
      <c r="BP3" s="17"/>
      <c r="BQ3" s="17"/>
      <c r="BR3" s="17"/>
      <c r="BS3" s="16"/>
      <c r="BT3" s="17"/>
      <c r="BU3" s="17"/>
      <c r="BV3" s="17"/>
      <c r="BW3" s="16"/>
      <c r="BX3" s="17"/>
      <c r="BY3" s="17"/>
      <c r="BZ3" s="17"/>
      <c r="CA3" s="16"/>
      <c r="CB3" s="17"/>
      <c r="CC3" s="17"/>
      <c r="CD3" s="17"/>
      <c r="CE3" s="16"/>
      <c r="CF3" s="17"/>
      <c r="CG3" s="17"/>
      <c r="CH3" s="17"/>
      <c r="CI3" s="16"/>
      <c r="CJ3" s="17"/>
      <c r="CK3" s="17"/>
      <c r="CL3" s="17"/>
      <c r="CM3" s="16"/>
      <c r="CN3" s="17"/>
      <c r="CO3" s="17"/>
      <c r="CP3" s="17"/>
      <c r="CQ3" s="16"/>
      <c r="CR3" s="17"/>
      <c r="CS3" s="17"/>
      <c r="CT3" s="17"/>
      <c r="CU3" s="16"/>
      <c r="CV3" s="17"/>
      <c r="CW3" s="17"/>
      <c r="CX3" s="17"/>
      <c r="CY3" s="16"/>
      <c r="CZ3" s="17"/>
      <c r="DA3" s="17"/>
      <c r="DB3" s="17"/>
      <c r="DC3" s="16"/>
      <c r="DD3" s="17"/>
      <c r="DE3" s="17"/>
      <c r="DF3" s="17"/>
      <c r="DG3" s="16"/>
      <c r="DH3" s="17"/>
      <c r="DI3" s="17"/>
      <c r="DJ3" s="17"/>
      <c r="DK3" s="16"/>
      <c r="DL3" s="17"/>
      <c r="DM3" s="17"/>
      <c r="DN3" s="17"/>
    </row>
  </sheetData>
  <mergeCells count="2">
    <mergeCell ref="B2:R2"/>
    <mergeCell ref="B3:R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don</cp:lastModifiedBy>
  <dcterms:created xsi:type="dcterms:W3CDTF">2022-04-04T17:20:11Z</dcterms:created>
  <dcterms:modified xsi:type="dcterms:W3CDTF">2026-03-31T13:50:52Z</dcterms:modified>
</cp:coreProperties>
</file>